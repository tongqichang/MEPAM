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596" windowHeight="12095"/>
  </bookViews>
  <sheets>
    <sheet name="MEPAM" sheetId="1" r:id="rId1"/>
    <sheet name="mixtral_mepam" sheetId="3" r:id="rId2"/>
    <sheet name="gpt4o" sheetId="6" r:id="rId3"/>
    <sheet name="mixtral" sheetId="2" r:id="rId4"/>
    <sheet name="deepseek" sheetId="4" r:id="rId5"/>
    <sheet name="qwen" sheetId="5" r:id="rId6"/>
  </sheets>
  <definedNames>
    <definedName name="_xlnm._FilterDatabase" localSheetId="1" hidden="1">mixtral_mepam!$D$1:$D$32</definedName>
    <definedName name="_xlnm._FilterDatabase" localSheetId="2" hidden="1">gpt4o!$F$1:$F$33</definedName>
    <definedName name="_xlnm._FilterDatabase" localSheetId="3" hidden="1">mixtral!$A$1:$J$33</definedName>
    <definedName name="_xlnm._FilterDatabase" localSheetId="4" hidden="1">deepseek!$F$1:$F$33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<sst xmlns="http://schemas.openxmlformats.org/spreadsheetml/2006/main" count="791" uniqueCount="384">
  <si>
    <t>question</t>
  </si>
  <si>
    <t>answer</t>
  </si>
  <si>
    <t>manual answer</t>
  </si>
  <si>
    <t>model answer</t>
  </si>
  <si>
    <t>source</t>
  </si>
  <si>
    <t>source_paragraphs</t>
  </si>
  <si>
    <t>Exact Match</t>
  </si>
  <si>
    <t>Hallucination rate</t>
  </si>
  <si>
    <t>Faithfulness</t>
  </si>
  <si>
    <t>Precision</t>
  </si>
  <si>
    <t>Recall</t>
  </si>
  <si>
    <t>F1 score</t>
  </si>
  <si>
    <t>What is the optimal temperature in Celsius for the catalytic reaction of the recombinant β-xylosidase Xyl43B from Clostridium stercorarium?</t>
  </si>
  <si>
    <t>The optimal temperature for the catalytic reaction of the recombinant β-xylosidase Xyl43B from Clostridium stercorarium is 80°C [1][3].
Note: Based on available sources, this information may be incomplete. Additional context from LLM: The optimal temperature is the condition under which the enzyme exhibits its highest catalytic activity. In this case, Xyl43B shows maximum activity at 80°C, indicating that this temperature is most suitable for its enzymatic function.
References:
[1]: vector database
[2]: graph database
[3]: vector database</t>
  </si>
  <si>
    <t>80°C</t>
  </si>
  <si>
    <t>10.1271/bbb.68.609</t>
  </si>
  <si>
    <t>The enzyme
was optimally active at 80_x000e_C and stable under heat
treatment at 50 to 70_x000e_C for 15 minutes in 50 m M sodium
citrate buffer (pH 4.5).</t>
  </si>
  <si>
    <t>What is the optimal pH value for the catalytic reaction of the recombinant β-xylosidase Xyl43B?</t>
  </si>
  <si>
    <t>The optimal pH value for the catalytic reaction of the recombinant β-xylosidase Xyl43B is 3.5 [3]. This was determined by assaying enzyme activity with PNPX through 15-min incubation at 60°C in Britton and Robinson’s universal buffer solutions at various pHs [3].
References:
[1]: vector database
[2]: graph database
[3]: vector database</t>
  </si>
  <si>
    <t>When the enzyme activity was assayed with PNPX by
15-min incubation at 60_x000e_C in Britton and Robinson’s
universal buffer solutions at various pHs, the optimum
pH for activity was found to be 3.5 (Fig. 5</t>
  </si>
  <si>
    <t>What is the optimal temperature in Celsius for the catalytic hydrolysis of o-nitrophenyl-β-galactoside (oNPG) by recombinant β-galactosidase?</t>
  </si>
  <si>
    <t>Based on the provided sources, the optimal temperature for the catalytic hydrolysis of o-nitrophenyl-β-galactoside (oNPG) by recombinant β-galactosidase is 40 °C [2].
Note: Based on available sources, this information may be incomplete. Additional context from LLM: The graph store response does not directly provide information about oNPG hydrolysis, but it does show that the enzyme 'lactase' (which is a type of β-galactosidase) has optimal activity at 30°C for certain substrates. This may suggest that different β-galactosidases or conditions could have varying optimal temperatures. The main source (2) clearly states that the maximal catalytic activity for β-galactosidase was obtained at 40 °C with oNPG as substrate [2].
References:
[1]: doi:10.1186/s43141-020-00096-w
[2]: doi:10.1186/s43141-020-00096-w
[3]: graph database</t>
  </si>
  <si>
    <t>40°C</t>
  </si>
  <si>
    <t>10.1186/s43141-020-00096-w</t>
  </si>
  <si>
    <t xml:space="preserve">The intracellular β-galactosidase was subjected to precipitation by ammonium sulfate and subsequently gel filtration, and the purified enzyme showed a molecular weight of approximately 72-kDa sodium dodecyl sulfate-polyacrylamid gel electrophoresis. The purified enzyme activity showed an optimal pH and temperature of 7.5 and 40 °C, </t>
  </si>
  <si>
    <t>Over what pH range can recombinant β-galactosidase maintain stability?</t>
  </si>
  <si>
    <t>Based on the provided sources, recombinant β-galactosidase (PbBGal2A) maintains stability over a pH range of 6.0-8.0 [1][2]. Additionally, the enzyme has been reported to maintain more than 90% of its original activity when incubated in the pH range of 6.5-8.0 for 24 hours [2].
References:
[1]: doi:10.1186/s43141-020-00096-w
[2]: doi:10.1186/s43141-020-00096-w
[3]: graph database</t>
  </si>
  <si>
    <t>6.0-8.0</t>
  </si>
  <si>
    <t>The maximal catalytic activity was found to be near the neutral pH in the 6.0–8.0 pH range,</t>
  </si>
  <si>
    <t>Which organic solvent  can enhance the activity of β-galactosidase?</t>
  </si>
  <si>
    <t>The provided sources do not contain relevant information about which organic solvent enhances the activity of β-galactosidase directly. However, source 2 and 3 mention that certain organic solvents like ethanol or methanol can increase enzymatic stability, allowing for higher activity in the presence of these solvents 2.
Note: Based on available sources, this information may be incomplete. Additional context from LLM: While some organic solvents might not directly enhance β-galactosidase activity, they can contribute to its stability, allowing for increased enzymatic activity under specific conditions with ethanol or methanol as preferred acceptors of glycosyl residues during the enzymatic reaction.
References:
[1]: graph database
[2]: doi:10.1186/s43141-020-00096-w</t>
  </si>
  <si>
    <t>ethanol and methanol</t>
  </si>
  <si>
    <t>. The enzymatic activity was potentiated and increased up to 15 and 5% of its initial activity in the presence of 10% ethanol or methanol, respectively.</t>
  </si>
  <si>
    <t>What is the optimal temperature in Celsius for the catalytic degradation of cellouronate by glucose aldonic acid lyase (TrGL) from Trichoderma reesei?</t>
  </si>
  <si>
    <t>The provided sources do not contain relevant information.
Note: This response is based solely on LLM knowledge: The optimal temperature for the catalytic degradation of cellouronate by glucose aldonic acid lyase (TrGL) from Trichoderma reesei is typically around 30°C, as this is a common optimal temperature for many enzymatic activities in Trichoderma reesei. However, specific conditions may vary depending on the enzyme's environment and other factors.
References:
[1]: doi:10.1016/j.jece.2020.103958
[2]: graph database
[3]: vector database</t>
  </si>
  <si>
    <t>30°C</t>
  </si>
  <si>
    <t>10.1016/j.jece.2020.103958</t>
  </si>
  <si>
    <t>The highest cellulase yield of 6.71 FPU/gds is obtained on 6th day of fermentation using steam pre-treated wheat bran with 70 % moisture content when inoculated with 106 spores of mixed suspension at 30 °C and pH 5.</t>
  </si>
  <si>
    <t>What is the final ethanol concentration (v/v) achieved by the engineered strain BR8 during direct fermentation of inulin in a 5-liter fermenter?</t>
  </si>
  <si>
    <t>9.5% (v/v), as reported in Source 15, is the final ethanol concentration achieved by the engineered strain BR8 during direct fermentation of inulin. However, the source does not provide information about the specific conditions of the fermentation beyond it being conducted in flasks, and there is no mention of a 5-liter fermenter.
References:
[1]: doi:10.1080/11263504.2013.856961
[2]: graph database
[3]: doi:10.1080/11263504.2013.856961</t>
  </si>
  <si>
    <t>14.0% (v/v)</t>
  </si>
  <si>
    <t>9.5% (v/v)</t>
  </si>
  <si>
    <t>10.1080/11263504.2013.856961</t>
  </si>
  <si>
    <r>
      <rPr>
        <sz val="11"/>
        <color theme="1"/>
        <rFont val="等线"/>
        <charset val="134"/>
        <scheme val="minor"/>
      </rPr>
      <t>In a 5-L fermentation, BR8 produced 14.0% (v/v) ethanol in fermentation medium containing inulin and 1% (w/v) (NH4)</t>
    </r>
    <r>
      <rPr>
        <vertAlign val="subscript"/>
        <sz val="11"/>
        <color theme="1"/>
        <rFont val="等线"/>
        <charset val="134"/>
        <scheme val="minor"/>
      </rPr>
      <t>2</t>
    </r>
    <r>
      <rPr>
        <sz val="11"/>
        <color theme="1"/>
        <rFont val="等线"/>
        <charset val="134"/>
        <scheme val="minor"/>
      </rPr>
      <t>SO</t>
    </r>
    <r>
      <rPr>
        <vertAlign val="subscript"/>
        <sz val="11"/>
        <color theme="1"/>
        <rFont val="等线"/>
        <charset val="134"/>
        <scheme val="minor"/>
      </rPr>
      <t>4</t>
    </r>
    <r>
      <rPr>
        <sz val="11"/>
        <color theme="1"/>
        <rFont val="等线"/>
        <charset val="134"/>
        <scheme val="minor"/>
      </rPr>
      <t>.</t>
    </r>
  </si>
  <si>
    <t>What is the maximum cell dry weight achieved by the engineered strain BR8 during fermentation?</t>
  </si>
  <si>
    <t>The maximum cell dry weight achieved by the engineered strain BR8 during fermentation was 12.1 g/L [15].
References:
[1]: graph database
[2]: doi:10.1080/11263504.2013.856961
[3]: doi:10.1080/11263504.2013.856961</t>
  </si>
  <si>
    <t>12.3 g/L</t>
  </si>
  <si>
    <r>
      <rPr>
        <sz val="11"/>
        <color theme="1"/>
        <rFont val="等线"/>
        <charset val="134"/>
        <scheme val="minor"/>
      </rPr>
      <t>The obtained transformant, BR8, produced 1.1 U mL</t>
    </r>
    <r>
      <rPr>
        <vertAlign val="superscript"/>
        <sz val="11"/>
        <color theme="1"/>
        <rFont val="等线"/>
        <charset val="134"/>
        <scheme val="minor"/>
      </rPr>
      <t>− 1</t>
    </r>
    <r>
      <rPr>
        <sz val="11"/>
        <color theme="1"/>
        <rFont val="等线"/>
        <charset val="134"/>
        <scheme val="minor"/>
      </rPr>
      <t xml:space="preserve"> inulinase activity within 72 h and the dry cell weight reached 12.3 g L</t>
    </r>
    <r>
      <rPr>
        <vertAlign val="superscript"/>
        <sz val="11"/>
        <color theme="1"/>
        <rFont val="等线"/>
        <charset val="134"/>
        <scheme val="minor"/>
      </rPr>
      <t>− 1</t>
    </r>
    <r>
      <rPr>
        <sz val="11"/>
        <color theme="1"/>
        <rFont val="等线"/>
        <charset val="134"/>
        <scheme val="minor"/>
      </rPr>
      <t xml:space="preserve"> within 48 h.</t>
    </r>
  </si>
  <si>
    <t>What is the highest filter paper activity achieved by Cellulomonas flavigena PR-22 using organic solid waste (OFMSW) at a 2% volatile solids (VS) concentration as the substrate?</t>
  </si>
  <si>
    <t>The highest filter paper activity achieved by Cellulomonas flavigena PR-22 using organic solid waste (OFMSW) at a 2% volatile solids (VS) concentration as the substrate was 1200 FPU l⁻¹ [15].
References:
[1]: graph database
[2]: doi:10.1177/0734242X13492841
[3]: doi:10.1177/0734242X13492841</t>
  </si>
  <si>
    <t>1200 FPU l⁻¹ </t>
  </si>
  <si>
    <t>10.11770734242X13492841</t>
  </si>
  <si>
    <t>Regarding E2, the OFMSW was evaluated at 1, 2 and 3%
VS. At 2% VS the best filter paper activities were attained
(1200 FPU l−1)</t>
  </si>
  <si>
    <t>What is the stirring speed used in the fermentation system of Cellulomonas flavigena PR-22 to achieve the highest xylanase activity?</t>
  </si>
  <si>
    <t>To achieve the highest xylanase activity, the fermentation system of为了获得最高的木聚糖酶活性，Cellulomonas flavigena黄纤维单胞菌PR-22 should be operated at a stirring speed of 600 rpm.The source of this information is Source 15, which states that the maximum xylanolytic activity was 8000 IU l−1, corresponding to the fermenter operated at 1 %w v−1 and 600 rpm.
References:
[1]: graph database
[2]: doi:10.1007/s12649-020-00934-5</t>
  </si>
  <si>
    <t>600 rpm</t>
  </si>
  <si>
    <t>The maximum xylanolytic activity was 8 000 IU l−1, correspond-
ing to the fermenter operated at 1 %w v−1 and 600 rpm, whereas
maximum cellulolytic activity was 1 060 IU l−1 in the fermenter
operated at 1.5 %w v−1 and 350 rpm (Figure 1)</t>
  </si>
  <si>
    <t>What is the stirring speed used in the fermentation system of Cellulomonas flavigena PR-22 to achieve the highest cellulase activity?</t>
  </si>
  <si>
    <t>350 rpm was used in the fermentation system of Cellulomonas flavigena PR-2
References:
[1]: doi:10.1177/0734242X13492841
[2]: graph database
[3]: doi:10.1002/jctb.5433</t>
  </si>
  <si>
    <t>350 rpm</t>
  </si>
  <si>
    <t>What is the optimal pH value for the catalytic reaction of β-glucosidase from Thermus thermophilus KNOUC202?</t>
  </si>
  <si>
    <t>Based on Source 2, the β-glucosidase enzyme from Thermus sp., including Thermus thermophilus KNOUC202, has an optimum pH range of 5.0 to 6.0. However, for the specific case of KNOUC202, Source 1 mentions that it shows highest activity at pH 5.4.
Answer: The optimal pH value for the catalytic reaction of β-glucosidase from Thermus thermophilus KNOUC202 is 5.4. (Source 1)
Note: Based on available sources, this information may be incomplete. Additional context from LLM: The pH range for optimal activity may depend on other factors such as temperature and substrate concentration.
References:
[1]: doi:10.1134/S0003683810050091
[3]: graph database</t>
  </si>
  <si>
    <t>10.1134S0003683810050091</t>
  </si>
  <si>
    <t xml:space="preserve">Optimum pH and optimum temperature of the enzyme were pH 5.4 and 90°C. </t>
  </si>
  <si>
    <t>What is the optimal temperature in Celsius for the catalytic reaction of β-glucosidase from Thermus thermophilus KNOUC202?</t>
  </si>
  <si>
    <t>Based on Source 3, the optimal temperature for the catalytic reaction of β-glucosidase from Thermus thermophilus KNOUC202 is 90°C. This information was derived from the statement that the enzyme showed highest activity at pH 5.4 and 90°C 3.
Note: While Source 3 provides the optimal temperature for the enzyme's activity, it does not explicitly state that this is the optimal temperature for catalytic reactions with Thermus thermophilus KNOUC202. However, since the enzyme's activity is highest at this temperature and the graph query in Source 1 was designed to find the optimal temperature for the catalytic reaction, it can be reasonably inferred that 90°C is the optimal temperature for the catalytic reaction.
References:
[1]: graph database
[2]: doi:10.1134/S0003683810050091</t>
  </si>
  <si>
    <t>90°C</t>
  </si>
  <si>
    <t>At which relatively lower temperature (close to pasteurization conditions) can β-glucosidase still effectively hydrolyze lactose?</t>
  </si>
  <si>
    <t>Based on Source 1, the graph query aims to find the enzyme labeled as " β-glucosidase" that can catalyze the hydrolysis of lactose at a temperature between 60 and 75 degrees. However, the response from the graph query is an empty list for all properties, indicating that there is no relevant data available in the graph database to answer this question accurately [1].
To provide additional context, lactase (β-galactosidase) is the enzyme responsible for breaking down lactose into simpler sugars, glucose and galactose. According to Source 2, researchers have identified optimal conditions for β-galactosidase production in various yeast strains, including Saccharomyces fragilis IZ 275 [2]. Specifically, they found that the maximum specific enzyme activity was achieved at a temperature of 35°C. Source 3 further supports these findings by showing a response surface plot where β-galactosidase activity is higher in the temperature range of 34-36°C and pH 6.0 [3].
Note: Based on available sources, this information may be incomplete. While S. fragilis IZ 275 has been shown to produce β-galactosidase at 35°C, the specific conditions for lactose hydrolysis by this enzyme have not been explicitly stated in the provided sources. Additionally, it is unclear whether these temperatures are within the range typically considered as near pasteurization conditions (60-75°C).
Further LLM knowledge: In the food industry, lactase from various sources like Aspergillus spp., Kluyveromyces spp. and others is used for lactose hydrolysis. The optimal temperature range for these enzymes varies between 30-60°C with an acidic pH optimum in the range of 2.5-5.4. While some lactases can maintain activity near pasteurization temperatures, they are typically more active at lower temperatures.
References:
[1]: graph database
[2]: doi:10.5039/agraria.v15i1a7236
[3]: doi:10.5039/agraria.v15i1a7236</t>
  </si>
  <si>
    <t>75°C</t>
  </si>
  <si>
    <t xml:space="preserve"> between 60 and 75°C</t>
  </si>
  <si>
    <t>10.1134/S0003683810050091</t>
  </si>
  <si>
    <t>The temperature, where enzyme activ_x0002_
ities were assayed, was 75°C except the test for deter_x0002_
mination of optimum temperature.</t>
  </si>
  <si>
    <t>Which metal ion, when added to the culture medium, enhances the activity of the zinc-dependent enzyme ADH-'A'?</t>
  </si>
  <si>
    <t>Based on the sources provided, I cannot give a definitive answer as none of them mention the specific effect of any metal ion on the activity of the zinc-dependent enzyme ADH-'A'.
Source 1 discusses the effects of various metal ions on an enzyme called His6-EcDCP but does not mention ADH-'A'. Source 2 talks about the importance of Zn2+ and Ca2+ in another enzyme's structure and activity (MMP-9), but it doesn't provide information about ADH-'A'. The graph query in Source 3 is asking for similar information about ADH-'A', but the response indicates that no such data is available in the graph database.
Note: Based on available sources, this information may be incomplete. Additional context from LLM: In general, enzymes can be influenced by various factors including pH, temperature, and presence of certain ions or chemicals. Some metal ions are known to play a crucial role in maintaining the structure and function of many enzymes. For instance, zinc is often found at the active site of zinc-dependent enzymes where it facilitates catalysis. However, whether a specific metal ion enhances the activity of ADH-'A' remains unknown based on these sources.
References:
[1]: doi:10.1007/s11274-008-9896-y
[3]: graph database</t>
  </si>
  <si>
    <t>Zn2+,Ca²⁺</t>
  </si>
  <si>
    <t>10.3390/pr10030544</t>
  </si>
  <si>
    <t>Maximum gelatinolytic activity of the enzyme was detected in the presence of CaCl2 and ZnCl2</t>
  </si>
  <si>
    <t>What are the optimal reaction pH and temperature for the recombinant yeast succinic semialdehyde dehydrogenase (SSADH) expressed in Escherichia coli BL21/pET-16b-SSADH?</t>
  </si>
  <si>
    <t>Based on Source 2, the optimal pH for recombinant yeast SSADH activity is 8.4 and it has the highest activity at 25 °C. However, Source 2 does not provide information about the source of these temperature values (Escherichia coli or another system). Additionally, there is no direct mention of Escherichia coli BL21/pET-16b-SSADH in this source.
Response:
The optimal pH for recombinant yeast SSADH activity is 8.4 [2]. It has the highest activity at 25 °C; however, this value might not directly apply to Escherichia coli BL21/pET-16b-SSADH as Source 2 does not specify the system used for temperature optimization [2].
Note: Based on available sources, this information may be incomplete. Additional context from LLM: The optimal reaction conditions can vary depending on the specific expression system and experimental setup. Therefore, further experimentation might be necessary to confirm these values for Escherichia coli BL21/pET-16b-SSADH.
References:
[1]: graph database
[2]: doi:10.1002/yea.3035
[3]: doi:10.1016/j.femsle.2004.08.001</t>
  </si>
  <si>
    <r>
      <rPr>
        <sz val="10"/>
        <color rgb="FF0F1115"/>
        <rFont val="Segoe UI"/>
        <charset val="134"/>
      </rPr>
      <t>8.4</t>
    </r>
    <r>
      <rPr>
        <sz val="10"/>
        <color rgb="FF0F1115"/>
        <rFont val="微软雅黑"/>
        <charset val="134"/>
      </rPr>
      <t>，</t>
    </r>
    <r>
      <rPr>
        <sz val="10"/>
        <color rgb="FF0F1115"/>
        <rFont val="Segoe UI"/>
        <charset val="134"/>
      </rPr>
      <t xml:space="preserve"> 25 °C</t>
    </r>
  </si>
  <si>
    <t>8.4， 25 °C</t>
  </si>
  <si>
    <t>10.1002/yea.3035</t>
  </si>
  <si>
    <t>The purified enzyme was highly specific for SSA and had no activity for the other substrates tested It had the highest activity at 25 °C (data not shown). The effect of pH on the SSADH activity was determined using the purified enzyme; the optimum pH was 8.4 in 0.1 M potassium pyrophophate buffer.</t>
  </si>
  <si>
    <t>What is the highest filter paper activity (FPase) achieved on day 6 using steam-pretreated wheat bran as the substrate under solid-state fermentation conditions with a mixed culture of Trichoderma reesei and Penicillium citrinum?</t>
  </si>
  <si>
    <t>Based on the Graph Query response, there is no data available regarding the highest filter paper activity (FPase) achieved on day 6 using steam-pretreated wheat bran as the substrate under solid-state fermentation conditions with a mixed culture of Trichoderma reesei and Penicillium citrinum.
References:
[1]: doi:10.2220/7JPAM.11.4.37
[2]: vector database
[3]: graph database</t>
  </si>
  <si>
    <t>6.71 FPU/gds</t>
  </si>
  <si>
    <t>none</t>
  </si>
  <si>
    <t xml:space="preserve">Cellulase production using pre-treated wheat bran increased the
titre of an enzyme in crude extracts. Lime pre-treated wheat bran gave a
maximum yield of 5.16 FPU/gds whereas; Steam pre-treated wheat
bran gave maximum yield of 6.71 FPU/gds, </t>
  </si>
  <si>
    <t>What is the Michaelis constant (Km) for the endo-β-1,4-xylanase (XynA) from Clostridium cellulovorans displayed on the surface of E. coli using the AIDA system, when using beechwood xylan as the substrate?</t>
  </si>
  <si>
    <t>6.01 mg/mL
Explanation: The Michaelis constant (Km) for the endo-β-1,4-xylanase (XynA) from Clostridium cellulovorans displayed on the surface of E. coli using the AIDA system, when using beechwood xylan as the substrate, is 6.01 mg/mL. This value was determined by analyzing the Graph Database query and response provided in Source 11 and comparing it to the Km values reported for free and immobilized endo1,4-β-xylanases in Source 12. The source data is from a text file indicated in Source 12, specifically at the file path /nfs_beijing/yangming/develop/llamaindex_test/chat_service/data/enzyme.all/10.1016j.enzmictec.2021.109834.txt.
References:
[1]: graph database
[2]: doi:10.1016/j.enzmictec.2021.109834</t>
  </si>
  <si>
    <t>6.01 mg/mL</t>
  </si>
  <si>
    <t>10.1016/j.enzmictec.2021.109834</t>
  </si>
  <si>
    <t xml:space="preserve">Optimal operational conditions were temperature of 55 ◦C and
pH 6.5, and the Michaelis-Menten catalytic constants Vmax and Km were 149 U/gDCW and 6.01 mg/mL, respec-
tively. </t>
  </si>
  <si>
    <t>What is the optimal reaction pH for the recombinant endo-1,4-β-xylanase (XylD) from Fusarium graminearum expressed in E. coli, when using oat spelt xylan as the substrate?</t>
  </si>
  <si>
    <t>The provided sources (e.g., Source 16) do not contain specific information about the optimal reaction pH for the recombinant endo-1,4-β-xylanase (XylD) from Fusarium graminearum expressed in E. coli using oat spelt xylan as the substrate. The data primarily pertains to other enzymes and substrates, such as glucose and galactose, with pH values like 5.5 mentioned for different contexts [16].
Therefore, the answer remains as initially stated:
The optimal reaction pH for the recombinant endo-1,4-β-xylanase (XylD) from Fusarium graminearum expressed in E. coli using oat spelt xylan as the substrate is pH 6.0 [1]. This value is derived from existing literature and research findings on similar enzyme-substrate interactions.
[1]: (This is a placeholder for the source that originally provided the pH 6.0 value, which was not found in the given data.)
References:
[1]: doi:10.1016/j.biortech.2008.07.006
[2]: doi:10.1016/j.biortech.2008.07.006
[3]: graph database</t>
  </si>
  <si>
    <t>10.1016/j.biortech.2008.07.006</t>
  </si>
  <si>
    <t xml:space="preserve">The 1,4-
b-xylosidase activity of Xylo/ArabA was highest at 20 °C, whereas
its a- L-arabinofuranosidase activity showed a peak at 40 °C, indi-
cating that this enzyme may have evolved by fusion of two en-
zymes with distinct substrate specificities, as was suggested for
the bifunctional xylosidase/arabinosidase from Sulfolobus solfatari-
cus (Morana et al., 2007). pH 6 was optimal for the activities of all
three enzymes. </t>
  </si>
  <si>
    <t>What was the highest protease activity (U/mL) produced by Bacillus subtilis B22 in the basic medium containing casein under blue LED illumination, and at what fermentation time was this peak activity achieved?</t>
  </si>
  <si>
    <t>The highest protease activity (110.79 ± 1.8 U/mL) produced by Bacillus subtilis B22 in the basic medium containing casein under blue LED illumination was achieved at 24 hours.
Reference(s):
Source 1: The provided sources indicate that the highest protease activity was achieved using blue LEDs, and Table 2 lists the specific values for each time point. However, it does not explicitly state the peak value in the text. The table shows that the maximum protease production (110.79 ± 1.8 U/mL) under blue LEDs occurred at 24 hours.
References:
[1]: doi:10.1007/s00449-019-02277-5</t>
  </si>
  <si>
    <t>110.79 ± 1.8 U/mL at 24 hours.</t>
  </si>
  <si>
    <t>10.1007/s00449-019-02277-5</t>
  </si>
  <si>
    <t>Fermentation under blue LEDs maximized protease production (110.79 ± 1.8 U/mL at 24 h)</t>
  </si>
  <si>
    <t>The activity of the purified protease from Bacillus subtilis B22 was significantly enhanced in the presence of 5 mM of which specific metal ions? (Please list them)</t>
  </si>
  <si>
    <t>The provided sources do not contain any information related to the activity of the purified protease from Bacillus subtilis B22 or the specific metal ions that enhance its activity. Therefore, I will repeat the existing answer based on the initial information provided:
The activity of the purified protease from Bacillus subtilis B22 was significantly enhanced in the presence of 5 mM of the following metal ions:
Ca²⁺ (122% activity)
Mg²⁺ (exceeded 100% relative to control)
Mn²⁺ (exceeded 100% relative to control)
Fe²⁺ (exceeded 100% relative to control)
Zn²⁺ (exceeded 100% relative to control) [1]
Note: Based on available sources, this information may be incomplete. Additional context from LLM: The protease also showed high activity with Co²⁺ (95%) and Cu²⁺ (95%) [1].
References:
[1]: doi:10.1007/s00449-019-02277-5
[2]: doi:10.1007/s00449-019-02277-5
[3]: graph database</t>
  </si>
  <si>
    <t>Ca²⁺, Mg²⁺,Mn²⁺</t>
  </si>
  <si>
    <t xml:space="preserve"> Ca2+, Mg2+, Mn2+, Fe2+, Zn2+ </t>
  </si>
  <si>
    <t>Activity increased in the presence of Ca 2+ ,
Mg 2+ and Mn 2+ , while Fe 2+ , Zn 2+ , Co 2+ and Cu 2+ moderated activity, and Ni 2+ and Hg 2+ inhibited activity.</t>
  </si>
  <si>
    <r>
      <t>What was the highest xylanase (XYN2) activity (nkat ml</t>
    </r>
    <r>
      <rPr>
        <sz val="11"/>
        <color theme="1"/>
        <rFont val="Tahoma"/>
        <charset val="134"/>
      </rPr>
      <t>⁻</t>
    </r>
    <r>
      <rPr>
        <sz val="11"/>
        <color theme="1"/>
        <rFont val="等线"/>
        <charset val="134"/>
        <scheme val="minor"/>
      </rPr>
      <t>¹) achieved by the Pichia pastoris strain TQ77 in the 5-liter bioreactor, and at how many hours of induction was this peak activity recorded?</t>
    </r>
  </si>
  <si>
    <t>how many hours of induction was this peak activity recorded?
The highest xylanase (XYN2) activity achieved by the Pichia pastoris strain TQ77 in the 5-liter bioreactor was 2,083 nkat ml⁻¹, and this peak activity was recorded after 51 hours of induction [1]. Additionally, another source notes that the strain TQ77 yielded higher amounts of recombinant xylanase XYN2 (2,000 nkat ml⁻¹) under the control of the AOX1 promoter [12].
References:
[1]: doi:10.1007/s11274-010-0512-6
[2]: doi:10.1007/s11274-010-0512-6
[3]: graph database</t>
  </si>
  <si>
    <t>2,083 nkat ml⁻¹</t>
  </si>
  <si>
    <t>10.1007/s11274-010-0512-6</t>
  </si>
  <si>
    <t>The highest xylanase
activity (2,083 nkat ml-1 ) and protein concentration
(680 mg l-1 ) in culture supernatant was obtained after
51 h induction (Fig. 1).</t>
  </si>
  <si>
    <t>What percentage of chlorine dioxide savings was achieved during the biobleaching of wheat straw pulp when pretreated with the recombinant xylanase?</t>
  </si>
  <si>
    <t>The biobleaching of wheat straw pulp with the recombinant xylanase pretreatment achieved chlorine dioxide savings of up to 60% [2].
Note: Based on available sources, this information may be incomplete. Additional context from LLM: The savings were achieved while maintaining pulp brightness at control levels and improving certain fiber strength properties.
References:
[1]: doi:10.1007/s11274-010-0512-6
[2]: doi:10.1007/s11274-010-0512-6
[3]: graph database</t>
  </si>
  <si>
    <t>Biobleaching of the
xylanase produced chlorine dioxide savings of up to 60%,
while retaining brightness at the control level and led to a
lower kappa number and small enhancements in tensile,
burst and tear strength of pulp fibers</t>
  </si>
  <si>
    <t>What ions can affect the enzyme activity of PGUS (β-glucuronidase)?</t>
  </si>
  <si>
    <t>β-glucuronidases, specifically PGUS-E and PGUS-P, can be affected by various metal ions and other agents. According to Source 2, the activities of both enzymes are strongly inhibited by Cu2+, but only PGUS-P is slightly inhibited by Ni2+, Fe2+, and Co2+ while being activated by Mg2+. On the other hand, PGUS-E is inhibited by DTT, EDTA, Urea, SDS, and Triton X-100, but these agents have no effect on PGUS-P. The document does not provide specific percentages for each ion or agent regarding their effects on enzyme activity.
Source 2:
The activities of PGUS-E and PGUS-P were inhibited strongly by Cu2+ (54.6% and 67.9%, respectively). The activity of PGUS-P was also slightly inhibited by Ni2+ (15.7%), Fe2+ (9.7%), and Co2+ (6.1%), but strongly activated by Mg2+ (26.4%). The activity of PGUS-E was inhibited by DTT (19.1%), EDTA (48.8), Urea (23.7), SDS (30.7), and Triton X-100 (15.2%), however, PGUS-P showed no effect under the influence of such chatropic agents.
References:
[1]: doi:10.1002/jctb.4050</t>
  </si>
  <si>
    <t xml:space="preserve">Activation: Mg²⁺ Inhibition: Cu²⁺,Ni²+, Fe²+ ,Co²⁺ </t>
  </si>
  <si>
    <t>10.1002/jctb.4050</t>
  </si>
  <si>
    <t xml:space="preserve">The activities of PGUS-E and PGUS-P were inhibited strongly by
Cu2+ (54.6% and 67.9%, respectively). The activity of PGUS-P was
also slightly inhibited by Ni2+ (15.7%), Fe 2+ (9.7%), and Co2+
(6.1%), but strongly activated by Mg 2+ (26.4%). </t>
  </si>
  <si>
    <t>How does Aspartate Transcarbamoylase (ATCase) perform under different pH conditions?</t>
  </si>
  <si>
    <t>Based on Source 3, Aspartate Transcarbamoylase (ATCase) exhibits a significant increase in enzymatic activity as the pH rises from 6.1 to 8.8. The maximal observed velocity of ATCase at pH 8.8 is almost 11-fold higher than the maximal velocity at pH 6.1. Moreover, ATCase displays cooperativity at higher pH values, with the Hill coefficient reaching its peak at around pH 8.5. Crystallization of ATCase occurs in the H3 space group when it is grown at pH 8.5, which is different from the more common P321 space group observed for ATCase crystals. The unit cell dimensions of the crystals of ATCase grown at pH 8.5 are similar to those of a few other T-state crystals of ATCase in the H3 space group.
Note: Based on available sources, this information may be incomplete. Additional context from LLM: The provided sources discuss the impact of pH on the structure and function of ATCase but do not explicitly mention specific effects at individual pH values other than pH 6.1, 8.5, and 8.8. However, it is clear that ATCase's activity increases as the pH rises and reaches its peak around pH 8.5.
References:
[1]: doi:10.1002/prot.22162
[2]: graph database
[3]: doi:10.1002/prot.22162</t>
  </si>
  <si>
    <t>increases from 6.1 to 8.8,maximal：8.8</t>
  </si>
  <si>
    <t>10.1002/prot.22162</t>
  </si>
  <si>
    <t>The most noticeable effect of pH on the function of ATCase
is that the activity of the enzyme increases dramatically
as the pH increases from 6.1 to 8.8. The maximal
observed velocity of ATCase at pH 8.8 is almost 11-fold
higher than the maximal velocity at pH 6.1.</t>
  </si>
  <si>
    <t>What is the optimal pH for Bacillus subtilis B22 to produce protease?</t>
  </si>
  <si>
    <t>Based on Source 2, Bacillus subtilis B22 exhibits high activity and stability in producing protease at a pH range of 7-10, with maximal activity (98%) at pH 7.0 and 8.0. The Graph Query response from Source 1 did not provide specific pH values for optimal protease production by Bacillus subtilis B22, but it does not contradict the information provided in Source 2.
Note: This answer is based solely on the provided sources. The graph query response did not contain specific pH values, but source 2 indicates that Bacillus subtilis B22 has high activity and stability for producing protease in a pH range of 7-10.
References:
[1]: graph database
[2]: doi:10.1007/s00449-019-02277-5</t>
  </si>
  <si>
    <t>7.0 and 8.0</t>
  </si>
  <si>
    <t xml:space="preserve">Bacillus spp. are known to survive under extreme conditions, including acidic, alkaline, high-temperature and dry environments [33]. These properties are highly desirable for industrial applications. Protease produced by B. subtilis B22 exhibited high activity and stability at pH 7–10 (Fig. 3). Protease activity was maximal (98%) at pH 7.0 and 8.0 (Fig. 3a). However, good protease activity was observed at pH 6, 9, and 10 (73, 85, and 70%, respectively). </t>
  </si>
  <si>
    <t>What is the appropriate general  aeration for 2,3-BDO</t>
  </si>
  <si>
    <t>Based on the information provided, there is no clear answer to what the appropriate general aeration is for 2,3-BDO production. Source 13 suggests that conditions of reduced aeration (aluminum cap, 300 rpm) could have reduced the spontaneous decarboxylation required for converting 2-acetolactate to diacetyl, while high aeration conditions produced ethanol titers consistent with previous reports. However, a specific "appropriate" level of aeration is not provided in this source. Additionally, Source 12 returns a Graph Database query with an empty response, indicating that there is no specific information about aeration for 2,3-BDO production. Therefore, more information and research may be needed to determine the most appropriate general aeration for 2,3-BDO production.
References:
[2]: vector-10.1186s13068-018-1176-y.pdf
[3]: graph database
[4]: vector-10.1186s13068-018-1176-y.pdf</t>
  </si>
  <si>
    <t>300 rpm</t>
  </si>
  <si>
    <t>10.1186/s13068-018-1176-y</t>
  </si>
  <si>
    <t>whereas a large increase in aeration
(vent-type cap, 300 rpm) reduced the 2,3-BDO titer
(256 mg L−1 ) (Fig. 3b)</t>
  </si>
  <si>
    <t>What is the optimal fermentation pH for producing cellulase using Aspergillus niger?</t>
  </si>
  <si>
    <t>5.0
Citation: The Graph Store Response contained this information directly - {'optimal_fermentation_pH': ['5.0']}. No need to refer to the provided sources as they are irrelevant in this case.
References:
[1]: graph database
[2]: doi:10.1016/j.jece.2020.103958</t>
  </si>
  <si>
    <t xml:space="preserve">The highest cellulase yield of 6.71 FPU/gds is obtained on 6th day of fermentation using steam pre-treated wheat bran with 70 % moisture content when inoculated with 106 spores of mixed suspension at 30 °C and pH 5. </t>
  </si>
  <si>
    <t>What is the optimal pH for laccase activity with guaiacol as the substrate?</t>
  </si>
  <si>
    <t>The optimal pH for laccase activity with guaiacol as the substrate is a broad range from 5 to 7 (Source 15).
References:
[1]: doi:10.1099/mic.0.27147-0
[2]: graph database
[3]: doi:10.5039/agraria.v15i1a7236</t>
  </si>
  <si>
    <t>’5-7</t>
  </si>
  <si>
    <t>10.1099/mic.0.27147-0</t>
  </si>
  <si>
    <t xml:space="preserve"> The pH optimum of the recombinant M.
albomyces laccase was determined using guaiacol as
substrate. The optimum was broad, ranging from 5 to 7,
as also earlier described for the native laccase (Kiiskinen
et al., 2002)</t>
  </si>
  <si>
    <t>What is the highest cellulase activity (U/ml) achieved by Trichoderma reesei NCIM 992 strain during solid-state fermentation using wheat bran as the substrate under optimal conditions (500μm particle size, 70% moisture, pH 5.0, 30°C)?</t>
  </si>
  <si>
    <t>based on Source 16, the highest cellulase activity achieved by Trichoderma reesei NCIM 992 strain during solid-state fermentation using wheat bran as the substrate under optimal conditions (500μm particle size, 70% moisture, pH 5.0, 30°C) is not provided in the graph response: {'highest_cellulase_activity': []}. The existing answer of 2.63 U/ml from Source 15 cannot be confirmed to have been achieved under the exact conditions specified in the query.
References:
[1]: doi:10.1007/s13399-022-02901-7
[2]: vector database
[3]: graph database</t>
  </si>
  <si>
    <t>2.63 U/ml</t>
  </si>
  <si>
    <t>Optimization of solid state fermentation conditions for the production of cellulase by Trichoderma reesei</t>
  </si>
  <si>
    <t>The enzyme activity of the selected strains Trichoderma
reesei NCIM 992, used for enzyme production is shown in Fig. 2.
The result indicates maximum production of enzyme was obtained
by SSF yielding 2.63 U ml-1 during incubation time of 6 days (Das
et al., 2008)</t>
  </si>
  <si>
    <t>answer_nograph</t>
  </si>
  <si>
    <t>model answer_nograph</t>
  </si>
  <si>
    <t xml:space="preserve"> The optimal temperature for enzymatic reactions can vary depending on the specific enzyme and its source. In your case, you are
interested in the recombinant β-xylosidase Xyl43B from Clostridium stercorarium.
To provide an accurate answer, I would need to refer to a specific scientific study or literature that has investigated the
optimal temperature for this particular enzyme. Unfortunately, without access to such information, I cannot provide an accurate
and up-to-date numerical answer.
However, I can tell you that the optimal temperature for enzymatic reactions typically ranges between 30°C and 60°C for
mesophilic enzymes. Thermophilic enzymes from thermophilic organisms may have optima around 60-80°C or even higher. It is
essential to consult the relevant scientific literature on the recombinant β-xylosidase Xyl43B from Clostridium stercorarium to
find the most recent and accurate data on this topic.
</t>
  </si>
  <si>
    <t xml:space="preserve">The optimal pH for enzymatic reactions can vary depending on the specific enzyme and its source. In your case, you are interested
in the recombinant β-xylosidase Xyl43B from Clostridium stercorarium.
To provide an accurate answer, I would need to refer to a specific scientific study or literature that has investigated the
optimal pH for this particular enzyme. Unfortunately, without access to such information, I cannot provide an accurate and
up-to-date numerical answer.
However, I can tell you that the optimal pH for enzymatic reactions typically ranges between 4.0 and 9.0, depending on the enzyme.
Neutral and slightly alkaline pH values are common for many enzymes of mesophilic origin. Acidophilic enzymes may have optima
below pH 5.0, while alkaliphilic enzymes can have optima above pH 9.0.
It is essential to consult the relevant scientific literature on the recombinant β-xylosidase Xyl43B from Clostridium
stercorarium to find the most recent and accurate data on this topic.
</t>
  </si>
  <si>
    <t xml:space="preserve">The optimal temperature for enzymatic reactions can vary depending on the specific enzyme and its source. In your case, you are
interested in the recombinant β-galactosidase that catalyzes the hydrolysis of o-nitrophenyl-β-galactoside (oNPG).
To provide an accurate answer, I would need to refer to a specific scientific study or literature that has investigated the
optimal temperature for this particular enzyme-substrate combination. Unfortunately, without access to such information, I cannot
provide an accurate and up-to-date numerical answer.
However, I can tell you that the optimal temperature for enzymatic reactions typically ranges between 30°C and 60°C for
mesophilic enzymes. Thermophilic enzymes from thermophilic organisms may have optima around 60-80°C or even higher. It is
essential to consult the relevant scientific literature on recombinant β-galactosidase and oNPG hydrolysis to find the most
recent and accurate data on this topic.
Please note that optimal temperatures for enzymatic reactions can also depend on other factors, such as buffer composition,
substrate concentration, and assay conditions. Therefore, it is essential to use relevant literature that has studied these
specific conditions when searching for an answer to your question.
</t>
  </si>
  <si>
    <t xml:space="preserve">The pH stability of enzymes can vary depending on the specific enzyme and its source. In your case, you are interested in the
recombinant β-galactosidase.
To provide an accurate answer, I would need to refer to a specific scientific study or literature that has investigated the pH
stability for this particular enzyme. Unfortunately, without access to such information, I cannot provide an accurate and
up-to-date numerical answer.
However, I can tell you that many β-galactosidases from various organisms typically maintain stability within a pH range of 5.0
to 8.0. In some cases, they might be stable in a broader or narrower range depending on the enzyme source and specific conditions.
It is essential to consult the relevant scientific literature on recombinant β-galactosidase to find the most recent and accurate
data on pH stability for this particular enzyme.
</t>
  </si>
  <si>
    <t>Which organic solvent at a 10% (v/v) concentration can enhance the activity of β-galactosidase?</t>
  </si>
  <si>
    <t xml:space="preserve">The effect of organic solvents on β-galactosidase activity can vary depending on the specific enzyme and the type of organic
solvent used. Some organic solvents may inhibit or inactivate enzymes, while others might enhance their activity or stability
under certain conditions.
To answer your question about which organic solvent at a 10% (v/v) concentration can enhance the activity of β-galactosidase, I
would need to refer to a specific scientific study or literature that has investigated this exact scenario. Unfortunately, without
access to such information, I cannot provide an accurate and up-to-date numerical answer.
However, some studies have shown that certain organic solvents, such as dimethyl sulfoxide (DMSO) and 1,4-dioxane, can enhance the
activity of some β-galactosidases at low concentrations (&lt;20% v/v). However, it is essential to note that these effects can be
highly dependent on the specific enzyme source, assay conditions, substrate, and other factors.
Therefore, I recommend consulting relevant scientific literature on β-galactosidase and organic solvent interactions to find the
most recent and accurate data on this topic.
</t>
  </si>
  <si>
    <t xml:space="preserve">I could not find specific information regarding the enzyme glucose aldonic acid lyase (TrGL) from Trichoderma reesei and its
optimal temperature for catalyzing the degradation of cellouronate.
However, some studies have investigated the effect of temperature on TrGL activity using other substrates, such as glucuronic or
galacturonic acid. These studies suggest that TrGL from T. reesei exhibits maximum activity at temperatures between 40°C and 50°
C.
Please note that optimal temperatures for enzymatic reactions can also depend on other factors, such as buffer composition,
substrate concentration, and assay conditions. Therefore, it is essential to use relevant literature that has studied the specific
conditions of cellouronate degradation by TrGL when searching for an answer to your question.
</t>
  </si>
  <si>
    <t xml:space="preserve"> The final ethanol concentration (v/v) produced by the engineered strain BR8 during direct fermentation of inulin in a 5-liter
fermenter depends on various factors, such as inoculum size, inulin concentration, fermentation duration, cultivation conditions,
and yeast physiology.
Unfortunately, I cannot find specific information about the final ethanol concentration achieved by the engineered strain BR8
during direct fermentation of inulin in a 5-liter fermenter in the given reference (Kim et al., 2020). The study mainly focuses on
the development and characterization of the engineered strain, its ability to produce high titers of extracellular glucose
isomerase during inulin fermentation, and the production of D-tagatose.
However, Kim et al. (2020) reported that the ethanol concentration produced by BR8 during shake flask cultivations using inulin as
a carbon source was around 35 g/L (approximately 4.38% v/v). This concentration can vary depending on fermenter scale-up and
optimization of culture conditions.
If you need more accurate information about the final ethanol concentration achieved by the engineered strain BR8 during direct
fermentation of inulin in a 5-liter fermenter, I recommend consulting the primary literature or contacting the authors directly
for clarification.
Reference:
Kim, Y.-S., Kwon, J.-G., Lee, S., Kim, S.-H., Shin, H.-D., &amp; Lee, J.-K. (2020). High-titer extracellular glucose isomerase
production and its application for D-tagatose synthesis using engineered Saccharomyces cerevisiae in inulin-based fermentation.
Bioresource Technology, 316, 124075.
</t>
  </si>
  <si>
    <t xml:space="preserve">I could not find specific information on the maximum cell dry weight (CDW) achieved by the engineered strain BR8 in the reference
you provided (Kim et al., 2020). The study primarily focuses on the development and characterization of the engineered strain, its
ability to produce high titers of extracellular glucose isomerase during inulin fermentation, and the production of D-tagatose.
While Kim et al. (2020) reported cell growth for the different strains used in their study, they did not explicitly provide
information on the maximum CDW achieved by the engineered strain BR8 during fermentation under the conditions investigated. If you
need accurate information about the maximum cell dry weight of this strain, I recommend consulting the primary literature or
contacting the authors directly for clarification.
Reference:
Kim, Y.-S., Kwon, J.-G., Lee, S., Kim, S.-H., Shin, H.-D., &amp; Lee, J.-K. (2020). High-titer extracellular glucose isomerase
production and its application for D-tagatose synthesis using engineered Saccharomyces cerevisiae in inulin-based fermentation.
Bioresource Technology, 316, 124075.
</t>
  </si>
  <si>
    <t xml:space="preserve">I am unable to provide an accurate answer to your question because I cannot find specific information on the filter paper
activity achieved by Cellulomonas flavigena PR-22 using organic solid waste (OFMSW) at a 2% volatile solids (VS) concentration as
the substrate.
To my knowledge, there is no publicly available data or study reporting the filter paper activity of C. flavigena PR-22 using
OFMSW at this specific substrate concentration. If you need accurate information on this topic, I recommend consulting the primary
literature or contacting researchers working in this field for guidance.
Filter paper activity is a standard assay used to measure cellulase enzyme activity based on the hydrolysis of filter paper as a
substrate. However, specific conditions and substrates can significantly affect the enzymatic activity, making it challenging to
provide generalized answers without consulting relevant literature or research data.
</t>
  </si>
  <si>
    <t xml:space="preserve">
 I am unable to provide an accurate answer to your question because I cannot find specific information on the stirring speed used
in the fermentation system of Cellulomonas flavigena PR-22 to achieve the highest xylanase activity.
Various studies have investigated and reported different conditions for the production of xylanases by C. flavigena, including the
use of various substrates, temperature, pH, and other factors that can impact enzyme production. However, I could not find any
specific information on the stirring speed used in the fermentation system to achieve the highest xylanase activity for this
organism.
If you need accurate information about the stirring speed used in the fermentation system of C. flavigena PR-22 to achieve the
highest xylanase activity, I recommend consulting the primary literature or contacting researchers working in this field for
guidance.
</t>
  </si>
  <si>
    <t xml:space="preserve"> I am unable to provide an accurate answer to your question because I cannot find specific information on the stirring speed used
in the fermentation system of Cellulomonas flavigena PR-22 to achieve the highest cellulase activity.
Various studies have investigated and reported different conditions for the production of cellulases by C. flavigena, including
the use of various substrates, temperature, pH, and other factors that can impact enzyme production. However, I could not find any
specific information on the stirring speed used in the fermentation system to achieve the highest cellulase activity for this
organism.
If you need accurate information about the stirring speed used in the fermentation system of C. flavigena PR-22 to achieve the
highest cellulase activity, I recommend consulting the primary literature or contacting researchers working in this field for
guidance.
</t>
  </si>
  <si>
    <t xml:space="preserve"> The optimal pH value for the catalytic reaction of β-glucosidase from Thermus thermophilus KNOUC202 is around pH 5.0-6.0.
Thermus thermophilus KNOUC202 is a thermophilic bacterium that produces a β-glucosidase enzyme with high activity and stability
at elevated temperatures. The optimal pH for this enzyme's catalytic activity varies depending on the specific assay conditions
and substrates used, but most studies report an optimum pH range of around 5.0-6.0 for this enzyme.
It is important to note that the optimal pH can vary depending on the specific assay conditions, such as temperature, buffer type,
and substrate concentration, so it may be necessary to optimize the pH value for a particular application or experimental setup.
</t>
  </si>
  <si>
    <t>5.0–6.0</t>
  </si>
  <si>
    <t xml:space="preserve"> The optimal temperature for the catalytic reaction of β-glucosidase from Thermus thermophilus KNOUC202 is around 70-80°C.
Thermus thermophilus KNOUC202 is a thermophilic bacterium that produces a β-glucosidase enzyme with high activity and stability
at elevated temperatures. The optimal temperature for this enzyme's catalytic activity varies depending on the specific assay
conditions and substrates used, but most studies report an optimum temperature range of around 70-80°C for this enzyme.
It is important to note that the optimal temperature can vary depending on the specific assay conditions, such as pH, buffer type,
and substrate concentration, so it may be necessary to optimize the temperature value for a particular application or experimental
setup. Additionally, high temperatures above the optimum range can lead to reduced enzyme activity and stability over time, so it
is important to maintain appropriate reaction conditions to ensure optimal performance of the β-glucosidase enzyme.
</t>
  </si>
  <si>
    <t>70-80°C</t>
  </si>
  <si>
    <t xml:space="preserve">
 While β-glucosidase from thermophilic organisms like Thermus thermophilus KNOUC202 typically exhibits optimal activity at higher
temperatures (70-80°C), some mesophilic β-glucosidases can still effectively hydrolyze lactose at relatively lower temperatures,
such as those close to pasteurization conditions (around 60-65°C).
For example, studies have shown that β-glucosidase enzymes from mesophilic organisms like Kluyveromyces lactis and Aspergillus
oryzae can effectively hydrolyze lactose at temperatures around 60-65°C. These enzymes are commonly used in the dairy industry
for lactose hydrolysis during pasteurization or ultra-high temperature (UHT) processing of milk and other dairy products.
It is important to note that the specific activity and stability of a particular β-glucosidase enzyme at lower temperatures will
depend on its source organism, as well as the specific assay conditions used, so it may be necessary to optimize the temperature
value for a particular application or experimental setup. Additionally, while some β-glucosidases can still effectively hydrolyze
lactose at relatively lower temperatures, their activity may be reduced compared to their optimal activity at higher temperatures.
</t>
  </si>
  <si>
    <t>70–80°C</t>
  </si>
  <si>
    <t xml:space="preserve"> When added to the culture medium, zinc (Zn^2+) ions can enhance the activity of the zinc-dependent alcohol dehydrogenase isozyme
'ADH-A' in microorganisms like Saccharomyces cerevisiae.
Alcohol dehydrogenases (ADHs) are enzymes that catalyze the reversible oxidation of alcohols to aldehydes or ketones, using NAD+
or NADP+ as cofactors. The 'ADH-A' isozyme in S. cerevisiae is a zinc-dependent enzyme, meaning that it requires zinc ions for its
catalytic activity.
Adding zinc ions to the culture medium can enhance the activity of ADH-A by providing an adequate supply of this essential
cofactor. However, it is important to note that excessive amounts of zinc or other metal ions can be inhibitory to enzyme activity
and may have toxic effects on the cells. Therefore, it is usually necessary to optimize the concentration of zinc or other metal
ions added to the culture medium for a particular application or experimental setup.
</t>
  </si>
  <si>
    <t>Zn²⁺</t>
  </si>
  <si>
    <t xml:space="preserve"> I am unable to provide an exact answer to your question, as the optimal reaction pH and temperature for the recombinant yeast
succinic semialdehyde dehydrogenase (SSADH) expressed in Escherichia coli BL21/pET-16b-SSADH may depend on various factors such as
the specific assay conditions, substrates used, and buffer compositions.
However, a study published in Protein Expression and Purification in 2018 reported the characterization of a recombinant SSADH
from the yeast Saccharomyces cerevisiae expressed in Escherichia coli BL21/pET-16b-SSADH. According to this study, the optimal
reaction pH for the purified recombinant SSADH was determined to be around 7.0-8.5, while the optimal temperature was found to be
around 30-40°C.
It is important to note that these values may vary depending on the specific experimental conditions and assays used, so it is
recommended to optimize the reaction pH and temperature for a particular application or experimental setup. Additionally,
appropriate controls and calibration procedures should be implemented to ensure accurate and reproducible results.
</t>
  </si>
  <si>
    <t>7.0-8.5; 30-40°C</t>
  </si>
  <si>
    <t xml:space="preserve">I was unable to find any specific studies or data that directly answer your question regarding the highest filter paper activity
(FPase) achieved on day 6 using steam-pretreated wheat bran as the substrate under solid-state fermentation conditions with a
mixed culture of Trichoderma reesei and Penicillium citrinum.
However, some studies have reported FPase activities for T. reesei or P. citrinum grown on various pretreated lignocellulosic
substrates under solid-state fermentation conditions. For example, a study published in Bioresource Technology in 2018 reported an
FPase activity of 3.46 FPU/g for T. reesei grown on steam-exploded corn stover under solid-state fermentation conditions. Another
study published in the Journal of Bioscience and Bioengineering in 2017 reported an FPase activity of 2.9 U/g for P. citrinum
grown on steam-pretreated wheat straw under solid-state fermentation conditions.
It is important to note that the specific FPase activity achieved may depend on various factors such as the type and pretreatment
of the substrate, the inoculation ratio and cultivation time, the nutrient composition and moisture content of the medium, and the
enzyme extraction and assay methods used. Therefore, it is recommended to optimize these parameters for a particular experimental
setup to achieve the highest FPase activity possible.
</t>
  </si>
  <si>
    <t xml:space="preserve">I was unable to find any specific studies or data that directly report the Michaelis constant (Km) for the endo-β-1,4-xylanase
(XynA) from Clostridium cellulovorans displayed on the surface of E. coli using the AIDA system when using beechwood xylan as the
substrate.
However, some studies have reported Km values for XynA from C. cellulovorans when using different substrates and expression
systems. For example, a study published in Applied Microbiology and Biotechnology in 2015 reported a Km value of 1.87 mg/mL for
purified recombinant XynA from C. cellulovorans when using oat-spelt xylan as the substrate and 2.16 mg/mL when using birchwood
xylan as the substrate. Another study published in Biotechnology and Bioengineering in 2018 reported a Km value of 1.54 mg/mL for
purified recombinant XynA from C. cellulovorans expressed in Bacillus subtilis when using beechwood xylan as the substrate.
It is important to note that the specific Km value may depend on various factors such as the type of substrate used, the
expression system and purification method, the assay conditions and parameters, and other experimental variables. Therefore, it is
recommended to conduct appropriate enzyme kinetic studies for a particular experimental setup to obtain an accurate Km value for
XynA from C. cellulovorans displayed on the surface of E. coli using the AIDA system when using beechwood xylan as the substrate.
</t>
  </si>
  <si>
    <t xml:space="preserve">The optimal reaction pH for the recombinant endo-1,4-β-xylanase (XylD) from Fusarium graminearum expressed in E. coli can depend
on various factors such as the specific assay conditions, buffer compositions, and substrates used.
However, a study published in Protein Expression and Purification in 2019 reported the characterization of recombinant XylD from
F. graminearum expressed in E. coli. According to this study, the optimal reaction pH for purified recombinant XylD was determined
to be around pH 5.0 when using oat spelt xylan as the substrate and a buffer composed of sodium acetate (20 mM) and acetic acid
(20 mM).
It is important to note that the specific optimal reaction pH may depend on various factors such as the type and concentration of
the buffer used, the assay conditions and parameters, and other experimental variables. Therefore, it is recommended to optimize
these parameters for a particular experimental setup to obtain the highest xylanase activity possible for recombinant XylD from F.
graminearum expressed in E. coli when using oat spelt xylan as the substrate.
</t>
  </si>
  <si>
    <t xml:space="preserve">I was unable to find any specific studies or data that directly answer your question regarding the highest protease activity
(U/mL) produced by Bacillus subtilis B22 in the basic medium containing casein under blue LED illumination, and at what
fermentation time this peak activity was achieved.
However, some studies have reported protease activities for different strains of B. subtilis grown under various conditions. For
example, a study published in Applied Microbiology and Biotechnology in 2019 reported that B. subtilis CCTC 683 NRRLB-4715
produced a maximum protease activity of 1.4 U/mL after 48 hours of cultivation in a complex medium containing casein under white
LED illumination.
It is important to note that the specific protease activity and fermentation time may depend on various factors such as the strain
of B. subtilis used, the composition of the medium and substrates, the light source and intensity, and other experimental
variables. Therefore, it is recommended to conduct appropriate experiments for a particular experimental setup to obtain the
highest protease activity possible for B. subtilis B22 grown in the basic medium containing casein under blue LED illumination.
</t>
  </si>
  <si>
    <t xml:space="preserve">I was unable to find any specific studies or data that directly report the effect of different metal ions on the activity of
purified protease from Bacillus subtilis B22.
However, some studies have reported the effect of metal ions on the activity of proteases from other strains of B. subtilis. For
example, a study published in the Journal of Molecular Catalysis B: Enzymatic in 2018 reported that Ca^2+, Ba^2+, and Sr^2+
significantly enhanced the activity of purified alkaline protease from Bacillus sp. strain KSM-K18 by up to 30% at a concentration
of 5 mM.
It is important to note that the specific metal ions that enhance the activity of purified protease from Bacillus subtilis B22 may
depend on various factors such as the type of protease, the assay conditions and parameters, and other experimental variables.
Therefore, it is recommended to conduct appropriate experiments for a particular experimental setup to determine the specific
metal ions that enhance the activity of purified protease from Bacillus subtilis B22.
</t>
  </si>
  <si>
    <r>
      <rPr>
        <sz val="11"/>
        <color theme="1"/>
        <rFont val="等线"/>
        <charset val="134"/>
        <scheme val="minor"/>
      </rPr>
      <t>What was the highest xylanase (XYN2) activity (nkat ml</t>
    </r>
    <r>
      <rPr>
        <sz val="11"/>
        <color theme="1"/>
        <rFont val="Tahoma"/>
        <charset val="134"/>
      </rPr>
      <t>⁻</t>
    </r>
    <r>
      <rPr>
        <sz val="11"/>
        <color theme="1"/>
        <rFont val="等线"/>
        <charset val="134"/>
        <scheme val="minor"/>
      </rPr>
      <t>¹) achieved by the Pichia pastoris strain TQ77 in the 5-liter bioreactor, and at how many hours of induction was this peak activity recorded?</t>
    </r>
  </si>
  <si>
    <t xml:space="preserve"> I was unable to find any specific studies or data that directly report the highest xylanase (XYN2) activity (nkat ml^(-1))
achieved by the Pichia pastoris strain TQ77 in a 5-liter bioreactor, and at how many hours of induction this peak activity was
recorded.
However, some studies have reported the production of xylanase from P. pastoris under different conditions. For example, a study
published in Biotechnology for Biofuels in 2017 reported that recombinant GH11 xylanase (XYNII) from Aspergillus nidulans produced
by P. pastoris KM71H reached a maximum activity of 95 U/mL (equivalent to 15.83 nkat ml^(-1)) after 60 hours of induction in a
5-liter bioreactor.
It is important to note that the specific xylanase (XYN2) activity and fermentation time may depend on various factors such as the
strain of P. pastoris used, the expression vector and promoter system, the composition of the medium and substrates, and other
experimental variables. Therefore, it is recommended to conduct appropriate experiments for a particular experimental setup to
obtain the highest xylanase (XYN2) activity possible for the P. pastoris strain TQ77 in a 5-liter bioreactor.
</t>
  </si>
  <si>
    <t xml:space="preserve">I was unable to find any specific studies or data that directly report the percentage of chlorine dioxide savings achieved during
the biobleaching of wheat straw pulp when pretreated with a particular recombinant xylanase.
However, some studies have reported the effect of xylanase pretreatment on the reduction of chlorine dioxide usage in the
bleaching of various types of pulp. For example, a study published in Bioresource Technology in 2019 reported that xylanase
pretreatment reduced the chlorine dioxide demand by up to 45% during the bleaching of wheat straw pulp.
It is important to note that the specific percentage of chlorine dioxide savings may depend on various factors such as the type
and dose of xylanase used, the type and pretreatment conditions of the pulp, the type and dosage of bleach chemicals used, and
other experimental variables. Therefore, it is recommended to conduct appropriate experiments for a particular experimental setup
to determine the specific percentage of chlorine dioxide savings achieved during the biobleaching of wheat straw pulp pretreated
with a recombinant xylanase.
</t>
  </si>
  <si>
    <t xml:space="preserve"> What ions can affect the enzyme activity of PGUS (β-glucuronidase)?
 I was unable to find any specific studies or data that directly report the effect of different ions on the enzyme activity of
PGUS (β-glucuronidase) from Escherichia coli.
However, some studies have reported the effect of metal ions on the activity of β-glucuronidase from other sources. For example,
a study published in Biochimica et Biophysica Acta (BBA) - Protein Structure and Molecular Enzymology in 1978 reported that Fe^3+,
Co^2+, Ni^2+, Cu^2+, Zn^2+, and Hg^2+ inhibited the activity of β-glucuronidase from E. coli, while Mg^2+, Ca^2+, and Mn^2+ had
no significant effect on enzyme activity.
It is important to note that the specific ions that affect the enzyme activity of PGUS (β-glucuronidase) may depend on various
factors such as the assay conditions and parameters, the type and concentration of the substrate used, and other experimental
variables. Therefore, it is recommended to conduct appropriate experiments for a particular experimental setup to determine the
specific ions that affect the enzyme activity of PGUS (β-glucuronidase) from E. coli.
</t>
  </si>
  <si>
    <t xml:space="preserve"> Inhibition: Fe³⁺, Co²⁺, Ni²⁺, Cu²⁺, Zn²⁺, Hg²⁺ no significant effect：Mg²⁺, Ca²⁺, Mn²⁺</t>
  </si>
  <si>
    <t xml:space="preserve"> Aspartate transcarbamoylase (ATCase) is an allosteric enzyme that catalyzes the first step in the biosynthesis of pyrimidines,
specifically the conversion of aspartate and carbamoyl phosphate to N-carbamoylaspartate. The activity of ATCase is affected by
several factors, including pH.
ATCase has an optimal pH range of around 7.4-8.2, depending on the source of the enzyme. At pH values below 6.5 or above 9.0,
ATCase activity decreases significantly due to the alteration of ionization states of amino acid residues involved in catalysis
and substrate binding.
Moreover, the allosteric properties of ATCase are also affected by pH. The enzyme exists in two interconvertible forms, T (tense)
and R (relaxed), which differ in their catalytic activity and affinity for substrates. The transition between these forms is
regulated by feedback inhibitors such as CTP and effectors such as ATP and PRPP. At pH values below 7.0, the T form of ATCase is
more stable, while at pH values above 8.0, the R form is more stable.
Overall, the activity and regulation of ATCase are highly sensitive to pH, and the enzyme's performance can be optimized by
carefully controlling the pH of the reaction buffer.
</t>
  </si>
  <si>
    <t>Optimal activity at pH 7.4–8.2</t>
  </si>
  <si>
    <t xml:space="preserve"> The optimal pH for Bacillus subtilis B22 to produce protease varies depending on the specific strain and culture conditions.
However, most strains of B. subtilis have been reported to produce maximum levels of extracellular protease at a slightly alkaline
pH, typically in the range of 8.0-10.5.
For example, a study published in the Journal of Industrial Microbiology and Biotechnology in 2013 investigated the effects of
various factors on the production of extracellular protease by B. subtilis B22. The authors found that the maximum protease
activity was achieved at pH 9.0, with a corresponding temperature optimum of 50°C.
It is important to note that the optimal pH for protease production may vary depending on the specific medium composition and
culture conditions used. Therefore, it is recommended to optimize the pH and other parameters through experimental testing for
each individual strain and application.
</t>
  </si>
  <si>
    <t xml:space="preserve"> The appropriate general aeration rate for the production of 2,3-butanediol (2,3-BDO) depends on several factors, including the
specific microorganism used, the substrate concentration and type, the fermentation mode (batch or fed-batch), and the bioreactor
design.
Generally, a sufficient supply of oxygen is essential for the aerobic production of 2,3-BDO since it serves as an electron
acceptor in the redox reactions involved in the biosynthetic pathway. However, high aeration rates can also lead to increased
foaming and energy consumption.
In a study published in the Journal of Biotechnology in 2011, the authors investigated the effects of various factors on the
production of 2,3-BDO by Bacillus licheniformis DSM13 strain in fed-batch fermentation. The optimal aeration rate was found to be
around 1 vvm (volume of air per volume of culture per minute) with a dissolved oxygen level maintained above 20% saturation.
Another study published in the Journal of Chemical Technology and Biotechnology in 2018 investigated the effects of different
aeration rates on the production of 2,3-BDO by Klebsiella pneumoniae DMBS01 in batch fermentation. The authors found that an
aeration rate of 0.5 vvm resulted in the highest 2,3-BDO concentration and yield.
Therefore, the appropriate general aeration rate for 2,3-BDO production may vary depending on the specific microorganism and
fermentation conditions used. It is recommended to optimize the aeration rate experimentally for each individual system to achieve
optimal 2,3-BDO productivity and yield.
</t>
  </si>
  <si>
    <t>~0.5–1 vvm</t>
  </si>
  <si>
    <t>What are the suitable substrates for cellulase?</t>
  </si>
  <si>
    <t xml:space="preserve">The optimal pH for laccase activity with guaiacol as a substrate varies depending on the specific laccase enzyme source and the
experimental conditions. However, several studies have reported that the optimal pH for laccase-catalyzed oxidation of guaiacol is
typically in the range of 3.5-5.0.
For example, a study published in Bioresource Technology in 2013 investigated the effects of pH and temperature on the activity of
laccase from Trametes versicolor using guaiacol as a substrate. The authors found that the optimal pH for laccase-catalyzed
oxidation of guaiacol was around 4.5, with a maximum activity of 2.3 U/mg at 60°C.
Another study published in Journal of Molecular Catalysis B: Enzymatic (2018) reported that the optimal pH for laccase-catalyzed
oxidation of guaiacol was around 4.5-5.0, with a maximum activity of 2.9 U/mg at 30°C using laccase from Pleurotus ostreatus.
Therefore, the optimal pH for laccase activity with guaiacol as a substrate is generally in the acidic range (pH 3.5-5.0), but it
may vary depending on the specific laccase enzyme source and experimental conditions used. It is recommended to optimize the pH
experimentally for each individual system to achieve optimal laccase activity.
</t>
  </si>
  <si>
    <t xml:space="preserve"> I am not able to provide real-time information or access specific research studies. However, I can tell you that Trichoderma
reesei is a well-known fungal strain for its cellulase production capabilities, and wheat bran is a commonly used substrate for
this purpose. Optimal conditions for cellulase activity by T. reesei vary based on different factors, including the specific
strain used, particle size of the substrate, moisture content, pH, temperature, and duration of fermentation.
To answer your question about the highest cellulase activity (U/ml) achieved by the T. reesei NCIM 992 strain during solid-state
fermentation using wheat bran as the substrate under optimal conditions, I would need to refer to a specific scientific study or
literature that has investigated this exact scenario. Unfortunately, without access to such information, I cannot provide an
accurate and up-to-date numerical answer.
I recommend consulting relevant scientific literature on solid-state fermentation using T. reesei and wheat bran for cellulase
production to find the most recent and accurate data on this topic.
</t>
  </si>
  <si>
    <t>GPT</t>
  </si>
  <si>
    <t>The recombinant β-xylosidase Xyl43B from *Clostridium stercorarium* exhibits optimal catalytic activity at **80°C**, as determined in studies involving its expression in *Escherichia coli*. This enzyme demonstrates thermostability within the temperature range of **50–70°C**. ([PubMed][1])
These characteristics make Xyl43B a promising candidate for industrial applications requiring robust enzymatic activity at elevated temperatures, such as biomass conversion and biofuel production.
[1]: https://pubmed.ncbi.nlm.nih.gov/15056894/?utm_source=chatgpt.com "Sequencing and expression of the gene encoding ..."</t>
  </si>
  <si>
    <t>The recombinant β-xylosidase Xyl43B from *Clostridium stercorarium* exhibits optimal catalytic activity at **pH 3.5**. The enzyme demonstrates stability across a broad pH range, from **pH 3.0 to 8.0**, indicating its robustness under varying acidic to neutral conditions ([PubMed][1]).
These characteristics make Xyl43B a promising candidate for industrial applications requiring acidic conditions, such as the hydrolysis of xylan in lignocellulosic biomass.
[1]: https://pubmed.ncbi.nlm.nih.gov/15056894/?utm_source=chatgpt.com "Sequencing and expression of the gene encoding ..."</t>
  </si>
  <si>
    <t>The optimal temperature for the catalytic hydrolysis of o-nitrophenyl-β-galactoside (oNPG) by recombinant β-galactosidase varies depending on the source organism. Here are some examples:
* **Thermotoga maritima**: The recombinant β-galactosidase from *Thermotoga maritima* exhibits optimal activity at **85°C** when using oNPG as the substrate. ([PubMed][1])
* **Pyrococcus furiosus**: The recombinant β-galactosidase from *Pyrococcus furiosus* shows optimal activity at **90°C** with oNPG. ([PubMed][2])
* **Lactobacillus helveticus**: For β-galactosidase from *Lactobacillus helveticus*, the optimal temperature for hydrolysis of oNPG is between **60°C and 70°C**. ([科学直通车][3])
These variations underscore the diversity of β-galactosidases from different organisms and their suitability for specific industrial applications based on their optimal operating temperatures.
[1]: https://pubmed.ncbi.nlm.nih.gov/15479416/?utm_source=chatgpt.com "Characterization of a Thermostable Recombinant Beta- ..."
[2]: https://pubmed.ncbi.nlm.nih.gov/24462527/?utm_source=chatgpt.com "Characterization of an extremely thermostable but cold- ..."
[3]: https://www.sciencedirect.com/science/article/pii/S2666910224000966?utm_source=chatgpt.com "Isolation and characterization of a β-galactosidase from ..."</t>
  </si>
  <si>
    <t>85°C</t>
  </si>
  <si>
    <t>The pH stability of recombinant β-galactosidase depends on its source organism, but generally, these enzymes maintain activity over a moderately broad pH range. Examples include:
* **Thermotoga maritima β-galactosidase**: Stable between **pH 5.0–8.0**.
* **Pyrococcus furiosus β-galactosidase**: Stable between **pH 5.5–8.5**.
* **Lactobacillus-derived β-galactosidases**: Often stable over **pH 4.0–7.0**.
This indicates that recombinant β-galactosidases can generally tolerate **slightly acidic to neutral conditions**, making them suitable for food, dairy, and some biotechnological applications.
If you want, I can make a concise **table summarizing optimal pH, temperature, and stability ranges** for recombinant β-galactosidases from common sources. Do you want me to do that?</t>
  </si>
  <si>
    <t>5.0–8.0</t>
  </si>
  <si>
    <t>Certain organic solvents at low concentrations can actually enhance the activity of some enzymes, including β-galactosidase, by affecting enzyme flexibility or substrate solubility.
For β-galactosidase, studies have shown that:
* **Ethanol at 10% (v/v)** can **enhance enzyme activity**, likely by improving substrate solubility without denaturing the enzyme.
* Other alcohols, like **methanol or isopropanol**, can sometimes have a mild enhancing effect at low concentrations but often inhibit at higher concentrations.
So among common solvents, **10% ethanol** is the most reported to enhance β-galactosidase activity.
I can also provide a **short list of solvents and their effects on β-galactosidase** if you want. Do you want me to do that?</t>
  </si>
  <si>
    <t>ethanol and methanol or isopropanol</t>
  </si>
  <si>
    <t>The optimal temperature for the catalytic degradation of cellouronate by glucose aldonic acid lyase (TrGL) from *Trichoderma reesei* has not been explicitly reported in the available literature. However, based on studies of related enzymes, it is reasonable to infer that TrGL may exhibit optimal activity at temperatures ranging from **40°C to 60°C**. For instance, enzymes from *Trichoderma reesei* involved in lignocellulose degradation, such as cellulases, typically have optimal temperatures between **50°C and 60°C** ([米尔坡Sigma][1]). Additionally, glucuronan lyases from *Trichoderma parareesei*, a close relative, have optimal temperatures between **40°C and 50°C** ([Welcome to DTU Research Database][2]).
Therefore, it is plausible that TrGL from *T. reesei* would exhibit optimal catalytic activity within this temperature range. Experimental determination of the enzyme's activity across a range of temperatures would provide precise information.
[1]: https://www.sigmaaldrich.com/US/en/product/sigma/c2730?srsltid=AfmBOorYSv-ADARn1WT5mJQwZ6H9KUigRmQj17_XguVB1HRuN8L4ZRV9&amp;utm_source=chatgpt.com "Cellulase from Trichoderma reesei"
[2]: https://orbit.dtu.dk/files/259950677/AEM.01819_21.pdf?utm_source=chatgpt.com "Discovery of a novel glucuronan lyase system in ..."</t>
  </si>
  <si>
    <t>The engineered strain **BR8** achieved a final ethanol concentration of **84.3 g/L** during direct fermentation of inulin in a 5-liter fermenter. This was accomplished using a recombinant *Saccharomyces cerevisiae* strain (designated 6525) that produces exo-inulinase, enabling efficient conversion of inulin to ethanol. The fermentation was conducted over a 72-hour period, yielding an ethanol efficiency of **0.453 g ethanol per g sugar** (88.6% of the theoretical maximum). ([MDPI][1])
This performance underscores the potential of engineered strains like BR8 for scalable and efficient bioethanol production from inulin-rich feedstocks.
[1]: https://www.mdpi.com/2311-5637/10/12/640?utm_source=chatgpt.com "Microbial Conversion of Inulin to Valuable Products"</t>
  </si>
  <si>
    <t>84.3 g/L</t>
  </si>
  <si>
    <t>The maximum cell dry weight achieved by the engineered *Saccharomyces cerevisiae* strain BR8 during direct fermentation of inulin in a 5-liter fermenter was **approximately 30 g/L**. This was determined through high-density fermentation experiments, where the strain produced **84.3 g/L ethanol** over 72 hours, with a yield of **0.453 g ethanol per g sugar** (88.6% of the theoretical maximum) ([ResearchGate][1]).
This high cell density is indicative of efficient inulin utilization and robust fermentation performance, making strain BR8 a promising candidate for industrial-scale bioethanol production from inulin-rich feedstocks.
[1]: https://www.researchgate.net/figure/Ethanol-fermentation-from-inulin-by-engineered-strains-a-Data-on-ethanol-production-b_fig5_301733554?utm_source=chatgpt.com "Ethanol fermentation from inulin by engineered strains. a ..."</t>
  </si>
  <si>
    <t>30 g/L</t>
  </si>
  <si>
    <r>
      <rPr>
        <sz val="11"/>
        <color theme="1"/>
        <rFont val="等线"/>
        <charset val="134"/>
        <scheme val="minor"/>
      </rPr>
      <t>The highest filter paper activity achieved by *Cellulomonas flavigena* PR-22 during fermentation using organic solid waste (OFMSW) as the substrate at a 2% volatile solids (VS) concentration was **1,200 Filter Paper Units (FPU) per liter (L)**. This was observed in a study evaluating holocellulase production from cellulolytic microorganisms using OFMSW and digestates from a hydrogenogenic-methanogenic bioenergy production process. At 2% VS, the best filter paper activities were 1,200 FPU/L; however, in a holocellulase basis, the best result was 67 FPU per gram of holocellulose (g(hol)</t>
    </r>
    <r>
      <rPr>
        <sz val="11"/>
        <color theme="1"/>
        <rFont val="Tahoma"/>
        <charset val="134"/>
      </rPr>
      <t>⁻</t>
    </r>
    <r>
      <rPr>
        <sz val="11"/>
        <color theme="1"/>
        <rFont val="等线"/>
        <charset val="134"/>
        <scheme val="minor"/>
      </rPr>
      <t>¹), corresponding to 1% VS. ([PubMed][1])
This performance underscores the potential of *C. flavigena* PR-22 in producing cellulases from organic waste substrates, contributing to sustainable waste management and bioenergy production.
[1]: https://pubmed.ncbi.nlm.nih.gov/23877254/?utm_source=chatgpt.com "Use of organic waste for the production of added-value ..."</t>
    </r>
  </si>
  <si>
    <t>The optimal stirring speed for xylanase production by *Cellulomonas flavigena* PR-22 during fermentation is not explicitly reported in the available literature. However, studies on similar bacterial strains suggest that agitation speeds can influence enzyme production. For instance, in submerged fermentation with *Micrococcus sp. SAMRC-UFH3*, xylanase activity was optimal at **200 rpm**, while cellulase production was highest at **50 rpm**, with a decrease in activity at higher speeds ([MDPI][1]).
Given that *Cellulomonas flavigena* is a Gram-positive bacterium that produces extracellular enzymes such as xylanase, it is likely that agitation speeds in the range of **150 to 200 rpm** could be effective for promoting enzyme production without causing shear stress that might damage the cells. However, the exact optimal stirring speed for PR-22 would depend on various factors, including the specific fermentation setup, medium composition, and scale of operation.
For precise optimization, it is recommended to conduct a series of experiments varying the stirring speed while monitoring xylanase activity to determine the optimal conditions for your specific fermentation system.
[1]: https://www.mdpi.com/2071-1050/8/11/1168?utm_source=chatgpt.com "Optimization of Cellulase and Xylanase Production by ..."</t>
  </si>
  <si>
    <t>The optimal stirring speed for cellulase production by *Cellulomonas flavigena* PR-22 during fermentation has not been explicitly reported in the available literature. However, studies on similar bacterial strains suggest that agitation speeds can influence enzyme production. For instance, in submerged fermentation with *Micrococcus sp. SAMRC-UFH3*, xylanase activity was optimal at **200 rpm**, while cellulase production was highest at **50 rpm**, with a decrease in activity at higher speeds.
Given that *Cellulomonas flavigena* is a Gram-positive bacterium that produces extracellular enzymes such as cellulase, it is likely that agitation speeds in the range of **150 to 200 rpm** could be effective for promoting enzyme production without causing shear stress that might damage the cells. However, the exact optimal stirring speed for PR-22 would depend on various factors, including the specific fermentation setup, medium composition, and scale of operation.
For precise optimization, it is recommended to conduct a series of experiments varying the stirring speed while monitoring cellulase activity to determine the optimal conditions for your specific fermentation system.</t>
  </si>
  <si>
    <r>
      <rPr>
        <sz val="11"/>
        <color theme="1"/>
        <rFont val="等线"/>
        <charset val="134"/>
        <scheme val="minor"/>
      </rPr>
      <t>The optimal pH for the catalytic activity of β-glucosidase from *Thermus thermophilus* KNOUC202 is **pH 5.4**. This enzyme exhibits its highest activity at this pH value and a temperature of **90°C**. It also demonstrates high thermostability, retaining significant activity at 80°C for 2 hours in a 0.05 M Na-phosphate buffer at pH 6.8, with a melting temperature (T</t>
    </r>
    <r>
      <rPr>
        <sz val="11"/>
        <color theme="1"/>
        <rFont val="Tahoma"/>
        <charset val="134"/>
      </rPr>
      <t>ₘ</t>
    </r>
    <r>
      <rPr>
        <sz val="11"/>
        <color theme="1"/>
        <rFont val="等线"/>
        <charset val="134"/>
        <scheme val="minor"/>
      </rPr>
      <t>) of approximately 100°C in a 0.02 M Tris-HCl buffer at pH 8.2. ([PubMed][1])
These characteristics make this β-glucosidase particularly suitable for industrial applications that require high-temperature processes, such as biomass conversion and biofuel production.
[1]: https://pubmed.ncbi.nlm.nih.gov/21058504/?utm_source=chatgpt.com "Beta-glycosidase of Thermus thermophilus KNOUC202"</t>
    </r>
  </si>
  <si>
    <t>The optimal temperature for the catalytic activity of β-glucosidase from *Thermus thermophilus* KNOUC202 is **90°C**.
This enzyme is highly thermostable, retaining significant activity even after incubation at 80°C for 2 hours, making it suitable for high-temperature industrial applications such as biomass conversion and biofuel production. ([source](https://pubmed.ncbi.nlm.nih.gov/21058504/?utm_source=chatgpt.com))</t>
  </si>
  <si>
    <t>β-Glucosidases are generally thermostable, but their activity decreases at lower temperatures. For *Thermus thermophilus* β-glucosidase and similar thermostable enzymes:
* **Effective lactose hydrolysis can still occur at 50–60°C**, which is close to standard pasteurization conditions (typically 63°C for 30 min or 72°C for 15 sec).
* At these temperatures, the enzyme retains a substantial fraction of its maximal activity, though the reaction rate is slower than at its optimum (90°C).
This makes such enzymes suitable for **lactose reduction in milk or dairy products during mild heat treatments** without denaturing the milk proteins.
If you want, I can make a **table showing expected relative activity of β-glucosidase at various temperatures**, including pasteurization ranges. Do you want me to do that?</t>
  </si>
  <si>
    <t>50–60°C</t>
  </si>
  <si>
    <r>
      <rPr>
        <sz val="11"/>
        <color theme="1"/>
        <rFont val="等线"/>
        <charset val="134"/>
        <scheme val="minor"/>
      </rPr>
      <t>For the zinc-dependent enzyme **ADH</t>
    </r>
    <r>
      <rPr>
        <sz val="11"/>
        <color theme="1"/>
        <rFont val="Tahoma"/>
        <charset val="134"/>
      </rPr>
      <t>‑</t>
    </r>
    <r>
      <rPr>
        <sz val="11"/>
        <color theme="1"/>
        <rFont val="等线"/>
        <charset val="134"/>
        <scheme val="minor"/>
      </rPr>
      <t>A** (alcohol dehydrogenase A), **Zn²</t>
    </r>
    <r>
      <rPr>
        <sz val="11"/>
        <color theme="1"/>
        <rFont val="Tahoma"/>
        <charset val="134"/>
      </rPr>
      <t>⁺</t>
    </r>
    <r>
      <rPr>
        <sz val="11"/>
        <color theme="1"/>
        <rFont val="等线"/>
        <charset val="134"/>
        <scheme val="minor"/>
      </rPr>
      <t xml:space="preserve"> (zinc ion)** itself is the metal cofactor that is essential for its catalytic activity.
* Adding **Zn²</t>
    </r>
    <r>
      <rPr>
        <sz val="11"/>
        <color theme="1"/>
        <rFont val="Tahoma"/>
        <charset val="134"/>
      </rPr>
      <t>⁺</t>
    </r>
    <r>
      <rPr>
        <sz val="11"/>
        <color theme="1"/>
        <rFont val="等线"/>
        <charset val="134"/>
        <scheme val="minor"/>
      </rPr>
      <t xml:space="preserve"> to the culture medium** or reaction mixture typically **enhances or restores ADH</t>
    </r>
    <r>
      <rPr>
        <sz val="11"/>
        <color theme="1"/>
        <rFont val="Tahoma"/>
        <charset val="134"/>
      </rPr>
      <t>‑</t>
    </r>
    <r>
      <rPr>
        <sz val="11"/>
        <color theme="1"/>
        <rFont val="等线"/>
        <charset val="134"/>
        <scheme val="minor"/>
      </rPr>
      <t>A activity**, since the enzyme relies on a zinc ion at its active site for proper folding and catalysis.
* Other metal ions (e.g., Mg²</t>
    </r>
    <r>
      <rPr>
        <sz val="11"/>
        <color theme="1"/>
        <rFont val="Tahoma"/>
        <charset val="134"/>
      </rPr>
      <t>⁺</t>
    </r>
    <r>
      <rPr>
        <sz val="11"/>
        <color theme="1"/>
        <rFont val="等线"/>
        <charset val="134"/>
        <scheme val="minor"/>
      </rPr>
      <t>, Ca²</t>
    </r>
    <r>
      <rPr>
        <sz val="11"/>
        <color theme="1"/>
        <rFont val="Tahoma"/>
        <charset val="134"/>
      </rPr>
      <t>⁺</t>
    </r>
    <r>
      <rPr>
        <sz val="11"/>
        <color theme="1"/>
        <rFont val="等线"/>
        <charset val="134"/>
        <scheme val="minor"/>
      </rPr>
      <t>) usually do **not** enhance activity and may even inhibit it by competing with zinc binding.
So, the answer is **Zn²</t>
    </r>
    <r>
      <rPr>
        <sz val="11"/>
        <color theme="1"/>
        <rFont val="Tahoma"/>
        <charset val="134"/>
      </rPr>
      <t>⁺</t>
    </r>
    <r>
      <rPr>
        <sz val="11"/>
        <color theme="1"/>
        <rFont val="等线"/>
        <charset val="134"/>
        <scheme val="minor"/>
      </rPr>
      <t>**.
If you want, I can also summarize **typical effects of other metal ions on ADH</t>
    </r>
    <r>
      <rPr>
        <sz val="11"/>
        <color theme="1"/>
        <rFont val="Tahoma"/>
        <charset val="134"/>
      </rPr>
      <t>‑</t>
    </r>
    <r>
      <rPr>
        <sz val="11"/>
        <color theme="1"/>
        <rFont val="等线"/>
        <charset val="134"/>
        <scheme val="minor"/>
      </rPr>
      <t>A activity** for reference.</t>
    </r>
  </si>
  <si>
    <r>
      <rPr>
        <sz val="11"/>
        <color theme="1"/>
        <rFont val="等线"/>
        <charset val="134"/>
        <scheme val="minor"/>
      </rPr>
      <t>The recombinant yeast succinic semialdehyde dehydrogenase (SSADH) expressed in *Escherichia coli* BL21/pET-16b-SSADH exhibits optimal catalytic activity at **pH 8.4** and **30°C**. Under these conditions, the enzyme demonstrates a high specificity for succinic semialdehyde, with a Km value of 15.48 ± 0.14 µM, and can utilize both NAD</t>
    </r>
    <r>
      <rPr>
        <sz val="11"/>
        <color theme="1"/>
        <rFont val="Tahoma"/>
        <charset val="134"/>
      </rPr>
      <t>⁺</t>
    </r>
    <r>
      <rPr>
        <sz val="11"/>
        <color theme="1"/>
        <rFont val="等线"/>
        <charset val="134"/>
        <scheme val="minor"/>
      </rPr>
      <t xml:space="preserve"> and NADP</t>
    </r>
    <r>
      <rPr>
        <sz val="11"/>
        <color theme="1"/>
        <rFont val="Tahoma"/>
        <charset val="134"/>
      </rPr>
      <t>⁺</t>
    </r>
    <r>
      <rPr>
        <sz val="11"/>
        <color theme="1"/>
        <rFont val="等线"/>
        <charset val="134"/>
        <scheme val="minor"/>
      </rPr>
      <t xml:space="preserve"> as cofactors, with Km values of 579.06 ± 30.1 µM and 1.017 ± 0.46 mM, respectively. The enzyme follows a 'ping-pong' kinetic mechanism and is inhibited by adenine nucleotides (AMP, ADP, ATP) with Ki values ranging from 1.13 to 10.2 mM. ([PubMed][1])
These optimal conditions are crucial for applications involving the reduction of γ-aminobutyric acid (GABA) to succinate, as well as in the production of bio-based chemicals.
[1]: https://pubmed.ncbi.nlm.nih.gov/25092794/?utm_source=chatgpt.com "Characterization of the recombinant succinic semi- ..."</t>
    </r>
  </si>
  <si>
    <r>
      <rPr>
        <sz val="10"/>
        <color rgb="FF0F1115"/>
        <rFont val="Segoe UI"/>
        <charset val="134"/>
      </rPr>
      <t>8.4</t>
    </r>
    <r>
      <rPr>
        <sz val="10"/>
        <color rgb="FF0F1115"/>
        <rFont val="微软雅黑"/>
        <charset val="134"/>
      </rPr>
      <t>，</t>
    </r>
    <r>
      <rPr>
        <sz val="10"/>
        <color rgb="FF0F1115"/>
        <rFont val="Segoe UI"/>
        <charset val="134"/>
      </rPr>
      <t xml:space="preserve"> 30 °C</t>
    </r>
  </si>
  <si>
    <r>
      <rPr>
        <sz val="11"/>
        <color theme="1"/>
        <rFont val="等线"/>
        <charset val="134"/>
        <scheme val="minor"/>
      </rPr>
      <t>The highest filter paper activity (FPase) achieved on day 6 using steam-pretreated wheat bran as the substrate under solid-state fermentation conditions with a mixed culture of *Trichoderma reesei* and *Penicillium citrinum* was **1,200 Filter Paper Units (FPU) per liter (L)**. This was observed in a study evaluating holocellulase production from cellulolytic microorganisms using organic solid waste and digestates from a hydrogenogenic-methanogenic bioenergy production process. At 2% volatile solids (VS), the best filter paper activities were 1,200 FPU/L; however, in a holocellulase basis, the best result was 67 FPU per gram of holocellulose (g(hol)</t>
    </r>
    <r>
      <rPr>
        <sz val="11"/>
        <color theme="1"/>
        <rFont val="Tahoma"/>
        <charset val="134"/>
      </rPr>
      <t>⁻</t>
    </r>
    <r>
      <rPr>
        <sz val="11"/>
        <color theme="1"/>
        <rFont val="等线"/>
        <charset val="134"/>
        <scheme val="minor"/>
      </rPr>
      <t>¹), corresponding to 1% VS. ([科学直通车][1])
This performance underscores the potential of *C. flavigena* PR-22 in producing cellulases from organic waste substrates, contributing to sustainable waste management and bioenergy production.
[1]: https://www.sciencedirect.com/science/article/abs/pii/S2213343720303067?utm_source=chatgpt.com "Optimised cellulase production from fungal co-culture of ..."</t>
    </r>
  </si>
  <si>
    <t>1,200 Filter Paper Units (FPU) per liter (L)</t>
  </si>
  <si>
    <t>The Michaelis constant (Km) for the endo-β-1,4-xylanase (XynA) from *Clostridium cellulovorans*, when expressed on the surface of *Escherichia coli* using the AIDA system and utilizing beechwood xylan as the substrate, is **6.01 mg/mL**. This value was determined under optimal conditions of **55°C** and **pH 6.5**, with a maximum specific activity (Vmax) of **149 U/g dry cell weight (DCW)**. ([PubMed][1])
These findings are significant for applications involving lignocellulosic biomass degradation, as they provide insights into the enzyme's efficiency and potential for industrial processes.
[1]: https://pubmed.ncbi.nlm.nih.gov/34311879/?utm_source=chatgpt.com "Autodisplay of an endo-1,4-β-xylanase from Clostridium ..."</t>
  </si>
  <si>
    <t>The optimal reaction pH for the recombinant endo-1,4-β-xylanase (XylD) from *Fusarium graminearum* expressed in *Escherichia coli* is approximately **pH 6.0**. This value is consistent with the optimal pH observed for the native enzyme when grown on arabinoxylan as the sole carbon source. The recombinant XylD exhibits similar biochemical properties to its native counterpart, including substrate specificity and inhibition sensitivities. Therefore, for optimal catalytic activity using oat spelt xylan as the substrate, maintaining the reaction pH around 6.0 is recommended.</t>
  </si>
  <si>
    <r>
      <rPr>
        <sz val="11"/>
        <color theme="1"/>
        <rFont val="等线"/>
        <charset val="134"/>
        <scheme val="minor"/>
      </rPr>
      <t>The highest protease activity produced by *Bacillus subtilis* B22 in a basic medium containing 1% (w/v) casein as the substrate under blue LED illumination was **110.79 ± 1.8 U/mL**, achieved at **24 hours** of fermentation. This activity was observed under submerged fermentation conditions at 37°C. The study also found that various agricultural waste products enhanced protease production, with groundnut oil cake yielding the most protease at **334 ± 1.8 U/mL** at 72 hours. The protease exhibited optimal activity and stability at pH 7–10 and temperatures between 20–60°C. Additionally, its activity increased in the presence of Ca²</t>
    </r>
    <r>
      <rPr>
        <sz val="11"/>
        <color theme="1"/>
        <rFont val="Tahoma"/>
        <charset val="134"/>
      </rPr>
      <t>⁺</t>
    </r>
    <r>
      <rPr>
        <sz val="11"/>
        <color theme="1"/>
        <rFont val="等线"/>
        <charset val="134"/>
        <scheme val="minor"/>
      </rPr>
      <t>, Mg²</t>
    </r>
    <r>
      <rPr>
        <sz val="11"/>
        <color theme="1"/>
        <rFont val="Tahoma"/>
        <charset val="134"/>
      </rPr>
      <t>⁺</t>
    </r>
    <r>
      <rPr>
        <sz val="11"/>
        <color theme="1"/>
        <rFont val="等线"/>
        <charset val="134"/>
        <scheme val="minor"/>
      </rPr>
      <t>, and Mn²</t>
    </r>
    <r>
      <rPr>
        <sz val="11"/>
        <color theme="1"/>
        <rFont val="Tahoma"/>
        <charset val="134"/>
      </rPr>
      <t>⁺</t>
    </r>
    <r>
      <rPr>
        <sz val="11"/>
        <color theme="1"/>
        <rFont val="等线"/>
        <charset val="134"/>
        <scheme val="minor"/>
      </rPr>
      <t>, while Fe²</t>
    </r>
    <r>
      <rPr>
        <sz val="11"/>
        <color theme="1"/>
        <rFont val="Tahoma"/>
        <charset val="134"/>
      </rPr>
      <t>⁺</t>
    </r>
    <r>
      <rPr>
        <sz val="11"/>
        <color theme="1"/>
        <rFont val="等线"/>
        <charset val="134"/>
        <scheme val="minor"/>
      </rPr>
      <t>, Zn²</t>
    </r>
    <r>
      <rPr>
        <sz val="11"/>
        <color theme="1"/>
        <rFont val="Tahoma"/>
        <charset val="134"/>
      </rPr>
      <t>⁺</t>
    </r>
    <r>
      <rPr>
        <sz val="11"/>
        <color theme="1"/>
        <rFont val="等线"/>
        <charset val="134"/>
        <scheme val="minor"/>
      </rPr>
      <t>, Co²</t>
    </r>
    <r>
      <rPr>
        <sz val="11"/>
        <color theme="1"/>
        <rFont val="Tahoma"/>
        <charset val="134"/>
      </rPr>
      <t>⁺</t>
    </r>
    <r>
      <rPr>
        <sz val="11"/>
        <color theme="1"/>
        <rFont val="等线"/>
        <charset val="134"/>
        <scheme val="minor"/>
      </rPr>
      <t>, and Cu²</t>
    </r>
    <r>
      <rPr>
        <sz val="11"/>
        <color theme="1"/>
        <rFont val="Tahoma"/>
        <charset val="134"/>
      </rPr>
      <t>⁺</t>
    </r>
    <r>
      <rPr>
        <sz val="11"/>
        <color theme="1"/>
        <rFont val="等线"/>
        <charset val="134"/>
        <scheme val="minor"/>
      </rPr>
      <t xml:space="preserve"> moderated activity, and Ni²</t>
    </r>
    <r>
      <rPr>
        <sz val="11"/>
        <color theme="1"/>
        <rFont val="Tahoma"/>
        <charset val="134"/>
      </rPr>
      <t>⁺</t>
    </r>
    <r>
      <rPr>
        <sz val="11"/>
        <color theme="1"/>
        <rFont val="等线"/>
        <charset val="134"/>
        <scheme val="minor"/>
      </rPr>
      <t xml:space="preserve"> and Hg²</t>
    </r>
    <r>
      <rPr>
        <sz val="11"/>
        <color theme="1"/>
        <rFont val="Tahoma"/>
        <charset val="134"/>
      </rPr>
      <t>⁺</t>
    </r>
    <r>
      <rPr>
        <sz val="11"/>
        <color theme="1"/>
        <rFont val="等线"/>
        <charset val="134"/>
        <scheme val="minor"/>
      </rPr>
      <t xml:space="preserve"> inhibited activity. The protease was unaffected by nonionic surfactants, tolerated an anionic surfactant, and was compatible with multiple organic solvents, suggesting its utility in industrial applications. ([PubMed][1])
[1]: https://pubmed.ncbi.nlm.nih.gov/31919603/?utm_source=chatgpt.com "Agricultural waste materials enhance protease production ..."</t>
    </r>
  </si>
  <si>
    <r>
      <rPr>
        <sz val="11"/>
        <color theme="1"/>
        <rFont val="等线"/>
        <charset val="134"/>
        <scheme val="minor"/>
      </rPr>
      <t>The activity of the purified protease from *Bacillus subtilis* B22 was significantly enhanced in the presence of the following **5 mM metal ions**:
* **Ca²</t>
    </r>
    <r>
      <rPr>
        <sz val="11"/>
        <color theme="1"/>
        <rFont val="Tahoma"/>
        <charset val="134"/>
      </rPr>
      <t>⁺</t>
    </r>
    <r>
      <rPr>
        <sz val="11"/>
        <color theme="1"/>
        <rFont val="等线"/>
        <charset val="134"/>
        <scheme val="minor"/>
      </rPr>
      <t xml:space="preserve"> (Calcium)**
* **Mg²</t>
    </r>
    <r>
      <rPr>
        <sz val="11"/>
        <color theme="1"/>
        <rFont val="Tahoma"/>
        <charset val="134"/>
      </rPr>
      <t>⁺</t>
    </r>
    <r>
      <rPr>
        <sz val="11"/>
        <color theme="1"/>
        <rFont val="等线"/>
        <charset val="134"/>
        <scheme val="minor"/>
      </rPr>
      <t xml:space="preserve"> (Magnesium)**
* **Mn²</t>
    </r>
    <r>
      <rPr>
        <sz val="11"/>
        <color theme="1"/>
        <rFont val="Tahoma"/>
        <charset val="134"/>
      </rPr>
      <t>⁺</t>
    </r>
    <r>
      <rPr>
        <sz val="11"/>
        <color theme="1"/>
        <rFont val="等线"/>
        <charset val="134"/>
        <scheme val="minor"/>
      </rPr>
      <t xml:space="preserve"> (Manganese)**
These ions act as activators, stabilizing the enzyme structure and increasing its catalytic efficiency.
Other metal ions like Fe²</t>
    </r>
    <r>
      <rPr>
        <sz val="11"/>
        <color theme="1"/>
        <rFont val="Tahoma"/>
        <charset val="134"/>
      </rPr>
      <t>⁺</t>
    </r>
    <r>
      <rPr>
        <sz val="11"/>
        <color theme="1"/>
        <rFont val="等线"/>
        <charset val="134"/>
        <scheme val="minor"/>
      </rPr>
      <t>, Zn²</t>
    </r>
    <r>
      <rPr>
        <sz val="11"/>
        <color theme="1"/>
        <rFont val="Tahoma"/>
        <charset val="134"/>
      </rPr>
      <t>⁺</t>
    </r>
    <r>
      <rPr>
        <sz val="11"/>
        <color theme="1"/>
        <rFont val="等线"/>
        <charset val="134"/>
        <scheme val="minor"/>
      </rPr>
      <t>, Co²</t>
    </r>
    <r>
      <rPr>
        <sz val="11"/>
        <color theme="1"/>
        <rFont val="Tahoma"/>
        <charset val="134"/>
      </rPr>
      <t>⁺</t>
    </r>
    <r>
      <rPr>
        <sz val="11"/>
        <color theme="1"/>
        <rFont val="等线"/>
        <charset val="134"/>
        <scheme val="minor"/>
      </rPr>
      <t>, and Cu²</t>
    </r>
    <r>
      <rPr>
        <sz val="11"/>
        <color theme="1"/>
        <rFont val="Tahoma"/>
        <charset val="134"/>
      </rPr>
      <t>⁺</t>
    </r>
    <r>
      <rPr>
        <sz val="11"/>
        <color theme="1"/>
        <rFont val="等线"/>
        <charset val="134"/>
        <scheme val="minor"/>
      </rPr>
      <t xml:space="preserve"> moderately affected activity, while Ni²</t>
    </r>
    <r>
      <rPr>
        <sz val="11"/>
        <color theme="1"/>
        <rFont val="Tahoma"/>
        <charset val="134"/>
      </rPr>
      <t>⁺</t>
    </r>
    <r>
      <rPr>
        <sz val="11"/>
        <color theme="1"/>
        <rFont val="等线"/>
        <charset val="134"/>
        <scheme val="minor"/>
      </rPr>
      <t xml:space="preserve"> and Hg²</t>
    </r>
    <r>
      <rPr>
        <sz val="11"/>
        <color theme="1"/>
        <rFont val="Tahoma"/>
        <charset val="134"/>
      </rPr>
      <t>⁺</t>
    </r>
    <r>
      <rPr>
        <sz val="11"/>
        <color theme="1"/>
        <rFont val="等线"/>
        <charset val="134"/>
        <scheme val="minor"/>
      </rPr>
      <t xml:space="preserve"> were inhibitory.</t>
    </r>
  </si>
  <si>
    <t>The highest xylanase (XYN2) activity achieved by the *Pichia pastoris* strain TQ77 in a 5-liter bioreactor was **4,350 nkat/mL**, recorded at **72 hours** of induction. This activity was obtained using a 2-liter fermentation setup. The enzyme exhibited optimal activity at **60°C** and **pH 6.0**, with a molecular mass of approximately 21 kDa. It primarily produced xylobiose and xylotriose as degradation products from oat-spelt xylan. The recombinant XYN2 was secreted into the medium with 95% purity and was stable at 50°C, retaining over 94% of its activity after 30 minutes of incubation ([BioMed Central][1]).
While these results were obtained in a 2-liter bioreactor, they provide a reference for the performance of XYN2 in larger-scale fermentations. For the 5-liter bioreactor, similar conditions and optimization strategies would be expected to yield comparable or enhanced enzyme activities.
[1]: https://bmcbiotechnol.biomedcentral.com/articles/10.1186/1472-6750-9-56?utm_source=chatgpt.com "Expression of endo-1, 4-beta-xylanase from Trichoderma ..."</t>
  </si>
  <si>
    <t>4,350 nkat/mL</t>
  </si>
  <si>
    <r>
      <rPr>
        <sz val="11"/>
        <color theme="1"/>
        <rFont val="等线"/>
        <charset val="134"/>
        <scheme val="minor"/>
      </rPr>
      <t>The application of recombinant xylanase in the biobleaching of wheat straw pulp has demonstrated significant reductions in chlorine dioxide (ClO</t>
    </r>
    <r>
      <rPr>
        <sz val="11"/>
        <color theme="1"/>
        <rFont val="Tahoma"/>
        <charset val="134"/>
      </rPr>
      <t>₂</t>
    </r>
    <r>
      <rPr>
        <sz val="11"/>
        <color theme="1"/>
        <rFont val="等线"/>
        <charset val="134"/>
        <scheme val="minor"/>
      </rPr>
      <t>) consumption. Studies have reported chlorine dioxide savings ranging from **10% to 60%**, depending on the specific enzyme used and the experimental conditions.
For instance, research involving *Trichoderma reesei* QM9414 xylanase achieved **chlorine dioxide savings of up to 60%**, while maintaining brightness levels comparable to the control. Similarly, studies with *Bacillus stearothermophilus* SDX xylanase reported a **10% reduction in chlorine dioxide consumption** during wheat straw pulp bleaching. ([爱荷华大学图书馆搜索][1])
These findings underscore the potential of recombinant xylanases in enhancing the efficiency of biobleaching processes, leading to substantial reductions in the use of chlorine-based chemicals and contributing to more environmentally friendly pulp and paper production.
[1]: https://search.lib.uiowa.edu/primo-explore/fulldisplay?adaptor=primo_central_multiple_fe&amp;context=PC&amp;docid=TN_cdi_proquest_miscellaneous_867736634&amp;facet=citedby%2Cexact%2Ccdi_FETCH-LOGICAL-c4341-8994cd6a9ac33c155d8b85c1ccdaec93377bdfe85cca07232c2b344e4e23d6c13&amp;lang=en_US&amp;offset=80&amp;query=sub%2Cexact%2Cburo&amp;search_scope=default_scope&amp;vid=01IOWA&amp;utm_source=chatgpt.com "Production of a Trichoderma reesei QM9414 xylanase in ..."</t>
    </r>
  </si>
  <si>
    <r>
      <rPr>
        <sz val="11"/>
        <color theme="1"/>
        <rFont val="等线"/>
        <charset val="134"/>
        <scheme val="minor"/>
      </rPr>
      <t>The activity of **PGUS (β-glucuronidase)** can be influenced by various metal ions. Generally:
### **Ions that can enhance activity:**
* **Mg²</t>
    </r>
    <r>
      <rPr>
        <sz val="11"/>
        <color theme="1"/>
        <rFont val="Tahoma"/>
        <charset val="1"/>
      </rPr>
      <t>⁺</t>
    </r>
    <r>
      <rPr>
        <sz val="11"/>
        <color theme="1"/>
        <rFont val="等线"/>
        <charset val="134"/>
        <scheme val="minor"/>
      </rPr>
      <t>** – can act as a cofactor in some β-glucuronidases.
* **Ca²</t>
    </r>
    <r>
      <rPr>
        <sz val="11"/>
        <color theme="1"/>
        <rFont val="Tahoma"/>
        <charset val="1"/>
      </rPr>
      <t>⁺</t>
    </r>
    <r>
      <rPr>
        <sz val="11"/>
        <color theme="1"/>
        <rFont val="等线"/>
        <charset val="134"/>
        <scheme val="minor"/>
      </rPr>
      <t>** – may stabilize the enzyme structure and enhance activity.
* **Mn²</t>
    </r>
    <r>
      <rPr>
        <sz val="11"/>
        <color theme="1"/>
        <rFont val="Tahoma"/>
        <charset val="1"/>
      </rPr>
      <t>⁺</t>
    </r>
    <r>
      <rPr>
        <sz val="11"/>
        <color theme="1"/>
        <rFont val="等线"/>
        <charset val="134"/>
        <scheme val="minor"/>
      </rPr>
      <t>** – sometimes acts as an activator.
### **Ions that can inhibit activity:**
* **Hg²</t>
    </r>
    <r>
      <rPr>
        <sz val="11"/>
        <color theme="1"/>
        <rFont val="Tahoma"/>
        <charset val="1"/>
      </rPr>
      <t>⁺</t>
    </r>
    <r>
      <rPr>
        <sz val="11"/>
        <color theme="1"/>
        <rFont val="等线"/>
        <charset val="134"/>
        <scheme val="minor"/>
      </rPr>
      <t>** – strongly inhibits by binding to thiol groups in the enzyme.
* **Cu²</t>
    </r>
    <r>
      <rPr>
        <sz val="11"/>
        <color theme="1"/>
        <rFont val="Tahoma"/>
        <charset val="1"/>
      </rPr>
      <t>⁺</t>
    </r>
    <r>
      <rPr>
        <sz val="11"/>
        <color theme="1"/>
        <rFont val="等线"/>
        <charset val="134"/>
        <scheme val="minor"/>
      </rPr>
      <t>** – can inhibit by interacting with active site residues.
* **Zn²</t>
    </r>
    <r>
      <rPr>
        <sz val="11"/>
        <color theme="1"/>
        <rFont val="Tahoma"/>
        <charset val="1"/>
      </rPr>
      <t>⁺</t>
    </r>
    <r>
      <rPr>
        <sz val="11"/>
        <color theme="1"/>
        <rFont val="等线"/>
        <charset val="134"/>
        <scheme val="minor"/>
      </rPr>
      <t>** – may inhibit depending on enzyme source.
* **Ag</t>
    </r>
    <r>
      <rPr>
        <sz val="11"/>
        <color theme="1"/>
        <rFont val="Tahoma"/>
        <charset val="1"/>
      </rPr>
      <t>⁺</t>
    </r>
    <r>
      <rPr>
        <sz val="11"/>
        <color theme="1"/>
        <rFont val="等线"/>
        <charset val="134"/>
        <scheme val="minor"/>
      </rPr>
      <t>** – generally inhibitory.
* **Fe³</t>
    </r>
    <r>
      <rPr>
        <sz val="11"/>
        <color theme="1"/>
        <rFont val="Tahoma"/>
        <charset val="1"/>
      </rPr>
      <t>⁺</t>
    </r>
    <r>
      <rPr>
        <sz val="11"/>
        <color theme="1"/>
        <rFont val="等线"/>
        <charset val="134"/>
        <scheme val="minor"/>
      </rPr>
      <t>** – can inhibit by oxidative interactions.
The exact effect depends on the **source of PGUS**, buffer conditions, and substrate used.
If you want, I can make a **concise table summarizing the activating and inhibitory ions for PGUS** based on reported studies. Do you want me to do that?</t>
    </r>
  </si>
  <si>
    <r>
      <rPr>
        <sz val="11"/>
        <color theme="1"/>
        <rFont val="等线"/>
        <charset val="134"/>
        <scheme val="minor"/>
      </rPr>
      <t>Activation: Mg²</t>
    </r>
    <r>
      <rPr>
        <sz val="11"/>
        <color theme="1"/>
        <rFont val="MS Gothic"/>
        <charset val="1"/>
      </rPr>
      <t>⁺</t>
    </r>
    <r>
      <rPr>
        <sz val="11"/>
        <color theme="1"/>
        <rFont val="等线"/>
        <charset val="134"/>
        <scheme val="minor"/>
      </rPr>
      <t xml:space="preserve"> ，Ca²</t>
    </r>
    <r>
      <rPr>
        <sz val="11"/>
        <color theme="1"/>
        <rFont val="Tahoma"/>
        <charset val="1"/>
      </rPr>
      <t>⁺</t>
    </r>
    <r>
      <rPr>
        <sz val="11"/>
        <color theme="1"/>
        <rFont val="等线"/>
        <charset val="134"/>
        <scheme val="minor"/>
      </rPr>
      <t>，Mn²</t>
    </r>
    <r>
      <rPr>
        <sz val="11"/>
        <color theme="1"/>
        <rFont val="Tahoma"/>
        <charset val="1"/>
      </rPr>
      <t>⁺</t>
    </r>
    <r>
      <rPr>
        <sz val="11"/>
        <color theme="1"/>
        <rFont val="等线"/>
        <charset val="134"/>
      </rPr>
      <t>，</t>
    </r>
    <r>
      <rPr>
        <sz val="11"/>
        <color theme="1"/>
        <rFont val="等线"/>
        <charset val="134"/>
        <scheme val="minor"/>
      </rPr>
      <t>Inhibition: Cu²</t>
    </r>
    <r>
      <rPr>
        <sz val="11"/>
        <color theme="1"/>
        <rFont val="MS Gothic"/>
        <charset val="1"/>
      </rPr>
      <t>⁺</t>
    </r>
    <r>
      <rPr>
        <sz val="11"/>
        <color theme="1"/>
        <rFont val="等线"/>
        <charset val="134"/>
        <scheme val="minor"/>
      </rPr>
      <t>,Hg²</t>
    </r>
    <r>
      <rPr>
        <sz val="11"/>
        <color theme="1"/>
        <rFont val="Tahoma"/>
        <charset val="1"/>
      </rPr>
      <t>⁺</t>
    </r>
    <r>
      <rPr>
        <sz val="11"/>
        <color theme="1"/>
        <rFont val="等线"/>
        <charset val="134"/>
        <scheme val="minor"/>
      </rPr>
      <t>,Fe³</t>
    </r>
    <r>
      <rPr>
        <sz val="11"/>
        <color theme="1"/>
        <rFont val="Tahoma"/>
        <charset val="1"/>
      </rPr>
      <t>⁺</t>
    </r>
    <r>
      <rPr>
        <sz val="11"/>
        <color theme="1"/>
        <rFont val="等线"/>
        <charset val="134"/>
        <scheme val="minor"/>
      </rPr>
      <t xml:space="preserve"> ，Zn²</t>
    </r>
    <r>
      <rPr>
        <sz val="11"/>
        <color theme="1"/>
        <rFont val="Tahoma"/>
        <charset val="1"/>
      </rPr>
      <t>⁺</t>
    </r>
    <r>
      <rPr>
        <sz val="11"/>
        <color theme="1"/>
        <rFont val="等线"/>
        <charset val="134"/>
        <scheme val="minor"/>
      </rPr>
      <t>，Ag</t>
    </r>
    <r>
      <rPr>
        <sz val="11"/>
        <color theme="1"/>
        <rFont val="Tahoma"/>
        <charset val="1"/>
      </rPr>
      <t>⁺</t>
    </r>
  </si>
  <si>
    <r>
      <rPr>
        <sz val="11"/>
        <color theme="1"/>
        <rFont val="等线"/>
        <charset val="134"/>
        <scheme val="minor"/>
      </rPr>
      <t xml:space="preserve">Aspartate transcarbamoylase (ATCase) is a **key allosteric enzyme** in the pyrimidine biosynthesis pathway, and its catalytic efficiency is strongly influenced by **pH** because both substrate binding and conformational changes depend on ionizable groups.
Here’s a summary of its performance across pH conditions (mostly studied in *E. coli* ATCase, the classic model enzyme):
---
### </t>
    </r>
    <r>
      <rPr>
        <sz val="11"/>
        <color theme="1"/>
        <rFont val="Segoe UI Symbol"/>
        <charset val="134"/>
      </rPr>
      <t>🔹</t>
    </r>
    <r>
      <rPr>
        <sz val="11"/>
        <color theme="1"/>
        <rFont val="等线"/>
        <charset val="134"/>
        <scheme val="minor"/>
      </rPr>
      <t xml:space="preserve"> **Optimal pH range**
* **pH 7.0–9.0** → ATCase shows **highest activity**.
* The enzyme’s optimum is typically near **pH 8.3**, which aligns with cytoplasmic conditions.
---
### </t>
    </r>
    <r>
      <rPr>
        <sz val="11"/>
        <color theme="1"/>
        <rFont val="Segoe UI Symbol"/>
        <charset val="134"/>
      </rPr>
      <t>🔹</t>
    </r>
    <r>
      <rPr>
        <sz val="11"/>
        <color theme="1"/>
        <rFont val="等线"/>
        <charset val="134"/>
        <scheme val="minor"/>
      </rPr>
      <t xml:space="preserve"> **Lower pH (acidic, pH &lt; 6.5)**
* Enzyme activity drops significantly.
* Protonation of active-site residues (e.g., aspartate binding site) interferes with substrate recognition.
* Conformational transitions between **T (tense, low activity)** and **R (relaxed, high activity)** states are less favorable.
---
### </t>
    </r>
    <r>
      <rPr>
        <sz val="11"/>
        <color theme="1"/>
        <rFont val="Segoe UI Symbol"/>
        <charset val="134"/>
      </rPr>
      <t>🔹</t>
    </r>
    <r>
      <rPr>
        <sz val="11"/>
        <color theme="1"/>
        <rFont val="等线"/>
        <charset val="134"/>
        <scheme val="minor"/>
      </rPr>
      <t xml:space="preserve"> **Higher pH (alkaline, &gt; 9.0)**
* Activity declines again.
* Deprotonation of essential residues (e.g., carbamoyl phosphate–binding groups) destabilizes catalytic interactions.
* Structural flexibility may be impaired.
---
### </t>
    </r>
    <r>
      <rPr>
        <sz val="11"/>
        <color theme="1"/>
        <rFont val="Segoe UI Symbol"/>
        <charset val="134"/>
      </rPr>
      <t>🔹</t>
    </r>
    <r>
      <rPr>
        <sz val="11"/>
        <color theme="1"/>
        <rFont val="等线"/>
        <charset val="134"/>
        <scheme val="minor"/>
      </rPr>
      <t xml:space="preserve"> **Allosteric regulation under different pH**
* **CTP (feedback inhibitor)** and **ATP (activator)** effects are pH-dependent.
  * At neutral to slightly alkaline pH, regulatory effects are strongest.
  * At suboptimal pH values (acidic or highly alkaline), allosteric control becomes less pronounced because overall catalytic activity is already compromised.
---
</t>
    </r>
    <r>
      <rPr>
        <sz val="11"/>
        <color theme="1"/>
        <rFont val="Segoe UI Symbol"/>
        <charset val="134"/>
      </rPr>
      <t>✅</t>
    </r>
    <r>
      <rPr>
        <sz val="11"/>
        <color theme="1"/>
        <rFont val="等线"/>
        <charset val="134"/>
        <scheme val="minor"/>
      </rPr>
      <t xml:space="preserve"> **In summary:**
ATCase works best in the **neutral to mildly alkaline range (around pH 8.0–8.5)**, with decreased activity at both lower and higher pH. Its allosteric regulation is most effective within this physiological range.
Would you like me to also create a **graph-style sketch (pH vs. relative activity curve)** so you can visualize ATCase’s performance across pH values?</t>
    </r>
  </si>
  <si>
    <t>pH 8.0–8.5</t>
  </si>
  <si>
    <t>The protease from *Bacillus subtilis* B22 has optimal activity (and stability) in a **pH range of about 7 to 10**. ([pubmed.ncbi.nlm.nih.gov][1])
[1]: https://pubmed.ncbi.nlm.nih.gov/31919603/?utm_source=chatgpt.com "Agricultural waste materials enhance protease production by Bacillus subtilis B22 in submerged fermentation under blue light-emitting diodes - PubMed"</t>
  </si>
  <si>
    <t>7 to 10.</t>
  </si>
  <si>
    <r>
      <rPr>
        <sz val="11"/>
        <color theme="1"/>
        <rFont val="等线"/>
        <charset val="134"/>
        <scheme val="minor"/>
      </rPr>
      <t xml:space="preserve">Good question </t>
    </r>
    <r>
      <rPr>
        <sz val="11"/>
        <color theme="1"/>
        <rFont val="Segoe UI Symbol"/>
        <charset val="134"/>
      </rPr>
      <t>👍</t>
    </r>
    <r>
      <rPr>
        <sz val="11"/>
        <color theme="1"/>
        <rFont val="等线"/>
        <charset val="134"/>
        <scheme val="minor"/>
      </rPr>
      <t xml:space="preserve"> — the aeration strategy is **critical** for 2,3-butanediol (2,3-BDO) fermentation because oxygen availability directly affects the metabolic flux between **2,3-BDO, acetoin, lactic acid, and ethanol**.
Here’s the general guideline:
---
### </t>
    </r>
    <r>
      <rPr>
        <sz val="11"/>
        <color theme="1"/>
        <rFont val="Segoe UI Symbol"/>
        <charset val="134"/>
      </rPr>
      <t>🔹</t>
    </r>
    <r>
      <rPr>
        <sz val="11"/>
        <color theme="1"/>
        <rFont val="等线"/>
        <charset val="134"/>
        <scheme val="minor"/>
      </rPr>
      <t xml:space="preserve"> **Aeration requirements for 2,3-BDO production**
* **Low aeration (microaerobic conditions):**
  → Favors **2,3-BDO accumulation** because pyruvate flux shifts toward acetoin/2,3-BDO instead of by-products.
  → Too little aeration, however, reduces NAD</t>
    </r>
    <r>
      <rPr>
        <sz val="11"/>
        <color theme="1"/>
        <rFont val="Tahoma"/>
        <charset val="134"/>
      </rPr>
      <t>⁺</t>
    </r>
    <r>
      <rPr>
        <sz val="11"/>
        <color theme="1"/>
        <rFont val="等线"/>
        <charset val="134"/>
        <scheme val="minor"/>
      </rPr>
      <t xml:space="preserve"> regeneration, slowing growth and production.
* **High aeration:**
  → Promotes biomass growth but diverts carbon flux toward **acetoin and organic acids** instead of 2,3-BDO.
---
### </t>
    </r>
    <r>
      <rPr>
        <sz val="11"/>
        <color theme="1"/>
        <rFont val="Segoe UI Symbol"/>
        <charset val="134"/>
      </rPr>
      <t>🔹</t>
    </r>
    <r>
      <rPr>
        <sz val="11"/>
        <color theme="1"/>
        <rFont val="等线"/>
        <charset val="134"/>
        <scheme val="minor"/>
      </rPr>
      <t xml:space="preserve"> **Practical range in fermenters**
* Typically **0.5 – 1.0 vvm** (volume of air per volume of medium per minute) is used.
* **Dissolved oxygen (DO):** maintained at **below 10% saturation** (microaerobic).
* Some optimized processes use a **two-stage strategy**:
  1. **Higher aeration** during the growth phase (to build biomass).
  2. **Reduced aeration** during the production phase (to maximize 2,3-BDO yield).
---
</t>
    </r>
    <r>
      <rPr>
        <sz val="11"/>
        <color theme="1"/>
        <rFont val="Segoe UI Symbol"/>
        <charset val="134"/>
      </rPr>
      <t>✅</t>
    </r>
    <r>
      <rPr>
        <sz val="11"/>
        <color theme="1"/>
        <rFont val="等线"/>
        <charset val="134"/>
        <scheme val="minor"/>
      </rPr>
      <t xml:space="preserve"> **In summary:**
The appropriate **general aeration for 2,3-BDO fermentation** is **microaerobic**, usually **0.5–1.0 vvm**, with DO kept **low (≈1–10%)**.
Would you like me to also give you **examples of specific aeration rates reported in 5-L or 10-L fermenters** for *Klebsiella* or *Bacillus* strains producing 2,3-BDO?</t>
    </r>
  </si>
  <si>
    <t>0.5–1.0 vvm</t>
  </si>
  <si>
    <t>Here’s a clear academic-style answer:
Answer:
For Aspergillus niger, the optimal fermentation pH for cellulase production is generally around 4.0–5.5, with maximum yields often reported near pH 4.5–5.0. For Trichoderma reesei, cellulase production is typically optimal at a slightly acidic pH, usually 4.8–5.5. Enzyme activity and stability decrease when the fermentation medium is shifted to more alkaline or highly acidic conditions.
Note: Reported optimal pH values can vary depending on the strain, substrate, and fermentation method (submerged vs. solid-state). However, both A. niger and T. reesei consistently favor slightly acidic environments for cellulase production.
Would you like me to also reformat this into your RAG-style output (with “Answer + Note + References” even if sources are placeholders), so it stays consistent with the rest of your project?</t>
  </si>
  <si>
    <t>4.5–5.0</t>
  </si>
  <si>
    <r>
      <rPr>
        <sz val="11"/>
        <color theme="1"/>
        <rFont val="等线"/>
        <charset val="134"/>
        <scheme val="minor"/>
      </rPr>
      <t xml:space="preserve">Great question — the **optimal pH of laccase** depends both on the **enzyme source** (fungal, bacterial, or plant) and the **substrate**.
For **guaiacol** (a common phenolic substrate used in laccase activity assays):
* Most fungal laccases (e.g., from *Trametes versicolor*, *Pleurotus ostreatus*, *Aspergillus* spp.) show an **optimal pH in the acidic range, typically pH 4.0–5.0**.
* Bacterial laccases (e.g., *Bacillus subtilis*, *Streptomyces* spp.) may have slightly higher optima, often **around pH 5.0–7.0**, but still show good activity in the weakly acidic range.
* At **neutral or alkaline pH**, guaiacol oxidation activity decreases rapidly because phenolic substrates are less efficiently oxidized and the enzyme stability drops.
---
</t>
    </r>
    <r>
      <rPr>
        <sz val="11"/>
        <color theme="1"/>
        <rFont val="Segoe UI Symbol"/>
        <charset val="134"/>
      </rPr>
      <t>✅</t>
    </r>
    <r>
      <rPr>
        <sz val="11"/>
        <color theme="1"/>
        <rFont val="等线"/>
        <charset val="134"/>
        <scheme val="minor"/>
      </rPr>
      <t xml:space="preserve"> **Summary:**
The **optimal pH for laccase activity with guaiacol** is usually **pH 4.0–5.0** (acidic conditions).
Would you like me to also include a **comparison table** of different laccase sources (fungal vs bacterial) and their reported **pH optima with guaiacol**? That could give you a clearer picture across organisms.</t>
    </r>
  </si>
  <si>
    <t>4.0–5.0</t>
  </si>
  <si>
    <t>The highest cellulase activity achieved by the *Trichoderma reesei* NCIM 992 strain during solid-state fermentation using wheat bran as the substrate under optimal conditions was 2.63 U/mL. These optimal conditions included a particle size of 500 µm, 70% initial moisture content, a pH of 5.0, a fermentation temperature of 30°C, and an incubation period of six days. ([PubMed][1])
These findings highlight the potential of *T. reesei* NCIM 992 in producing cellulase enzymes under solid-state fermentation, with wheat bran serving as an effective substrate. Further optimization of fermentation parameters could potentially enhance cellulase production beyond the observed 2.63 U/mL.
[1]: https://pubmed.ncbi.nlm.nih.gov/23033636/?utm_source=chatgpt.com "Optimization of solid state fermentation conditions for the ..."</t>
  </si>
  <si>
    <t>I don't have real-time access to databases or specific research studies, so I cannot provide the optimal temperature for a specific enzyme with absolute certainty. However, I can tell you that the optimal temperature for enzymatic reactions generally depends on the specific enzyme involved.
In the case of β-xylosidase Xyl43B from Clostridium stercorarium, you should look for the original research article or a recent study focusing on this particular enzyme to find the precise optimal temperature. Unfortunately, I cannot access these resources at the moment to provide a specific Celsius value.
In general, most enzymes have an optimal temperature range between 20°C and 45°C (68°F and 113°F). Still, some enzymes can function optimally at temperatures up to 70°C (158°F) or even higher. The key is to find the balance where the enzyme's activity is highest while avoiding denaturation due to excessive heat.
I recommend consulting scientific literature, such as research articles and reviews, that focus on the β-xylosidase Xyl43B from Clostridium stercorarium for a more accurate answer.</t>
  </si>
  <si>
    <t>The optimal pH value for the catalytic reaction of the recombinant β-xylosidase Xyl43B varies depending on the specific assay conditions and substrate used. However, studies have reported that the optimal pH for this enzyme is around 5.0-6.0 when measured using p-nitrophenyl-β-D-xylopyranoside (pNPX) as a substrate. It is important to note that the optimum pH value may differ when using other substrates or experimental conditions, and should be determined empirically for each specific application.</t>
  </si>
  <si>
    <t>The optimal temperature for the catalytic hydrolysis of o-nitrophenyl-β-galactoside (oNPG) by recombinant β-galactosidase is typically around 37 degrees Celsius. This is because many β-galactosidases, including the one from E. coli, have a temperature optimum near the body temperature of their host organism. However, it's important to note that the optimal temperature can vary depending on the specific source and form of the β-galactosidase enzyme being used. Always consult the specific literature or documentation associated with your particular enzyme for the most accurate information.</t>
  </si>
  <si>
    <t>37°C</t>
  </si>
  <si>
    <t>Recombinant β-galactosidase, an enzyme commonly used in molecular biology research, is known to be stable within a relatively broad pH range. It generally maintains its activity and stability between pH 6.0 and 8.5. However, the optimal pH for its activity is typically around pH 7.2. At extremely acidic or alkaline conditions, the enzyme may denature and lose its function. Remember that the exact pH range can vary depending on the specific source of the enzyme and the buffer system used. Always refer to the manufacturer's datasheet or relevant literature for information specific to your particular β-galactosidase preparation.</t>
  </si>
  <si>
    <t>6.5-8.5</t>
  </si>
  <si>
    <t>I am not aware of any specific organic solvent that enhances the activity of β-galactosidase at a 10% (v/v) concentration. In fact, most organic solvents are likely to inhibit enzyme activity due to denaturation of the protein structure.
However, there is evidence that low concentrations of certain organic solvents, such as dimethyl sulfoxide (DMSO), ethylene glycol, and glycerol, can help stabilize some enzymes by increasing their solubility or preventing aggregation. Even in these cases, the enhancement of enzyme activity is not guaranteed, and the effect may depend on the specific enzyme and conditions.
Before using any organic solvent to enhance enzyme activity, it is important to conduct experiments to determine the optimal concentration and compatibility with the particular enzyme of interest. Always follow safety guidelines when handling organic solvents.</t>
  </si>
  <si>
    <t>I'm not a expert in biochemistry, but after some research, I found that the optimal temperature for the catalytic degradation of cellouronate by glucose aldonic acid lyase (TrGL) from Trichoderma reesei is around 50-60°C. This range was reported in a study published in the journal "Applied Microbiology and Biotechnology" in 2014, where they characterized the enzyme and its properties. It's important to note that temperature can vary depending on specific conditions and assay used, so it is always recommended to check the specific experimental setup for any given study or experiment.
Reference:
Suits, C., Sørlie, M., &amp; Rakansky, K. (2014). TrGL—A cold-adapted β-glucosidase from Trichoderma reesei with activity on cello-oligosaccharides and aldonic acids. Applied Microbiology and Biotechnology, 98(17), 7263–7274. https://doi.org/10.1007/s00253-014-5843-5</t>
  </si>
  <si>
    <t>50-60°C</t>
  </si>
  <si>
    <t>The study you are referring to is likely "Metabolic engineering of Escherichia coli for the direct conversion of inulin to ethanol" by Linger, J., et al., published in Microbial Cell Factories in 2014. In this paper, the researchers engineered a strain of E. coli, named BR8, to directly ferment inulin (a polysaccharide found in some plants) into ethanol.
The experiment was performed in a 5-liter fermenter with an initial inulin concentration of 100 g/L. The final ethanol concentration achieved by the engineered strain BR8 was approximately 42 g/L (v/v). This value is reported in Table 3 of the paper as "Ethanol titer (g/L) at the end of the fermentation."
To convert this to a volume/volume percentage, you can use the following formula:
(ethanol concentration / (ethanol concentration + water concentration)) × 100%
Since pure ethanol has a density of approximately 0.789 g/mL at room temperature and water has a density of approximately 1 g/mL, we can calculate the volume/volume percentage as follows:
(42 g/L / (42 g/L + (100 g/L × (1 - 0.789 g/mL ÷ 1 g/mL)) × (1000 mL/L))) × 100% ≈ 3.65% (v/v)
Therefore, the final ethanol concentration achieved by the engineered strain BR8 during direct fermentation of inulin in a 5-liter fermenter is approximately 3.65% (v/v).</t>
  </si>
  <si>
    <t>3.65% (v/v)</t>
  </si>
  <si>
    <t>I'm sorry for any confusion, but the information provided does not include specific details about an engineered strain named BR8 or its maximum cell dry weight achieved during fermentation. To provide an accurate answer, more context and detailed information are needed. Could you please specify the source or the complete details of this query? I would be happy to help further with more accurate information.</t>
  </si>
  <si>
    <t>I don't have access to real-time databases or information, so I cannot provide you with the most recent data or the highest filter paper activity achieved by Cellulomonas flavigena PR-2</t>
  </si>
  <si>
    <t>I'm sorry for any confusion, but the specific stirring speed to achieve the highest xylanase activity in the fermentation system of Cellulomonas flavigena PR-22 is not readily available in the scientific literature I have access to. The optimal stirring speed can vary depending on the specific fermentation setup and conditions, such as volume, shape of the fermenter, and desired product.
In a 2014 study published in the Journal of Microbiology and Biotechnology, the authors optimized several parameters for xylanase production by Cellulomonas flavigena PR-22, including temperature, pH, and carbon source, but they did not mention the stirring speed.
I would recommend referring to the specific experimental setup and conditions in the scientific literature relevant to your research. If you have access to the original research article where this Cellulomonas flavigena PR-22 strain was studied, I would suggest checking there for more detailed information on the fermentation conditions.</t>
  </si>
  <si>
    <t>I'm an assistant and I don't have real-time access to specific research data or databases. However, I can tell you that the stirring speed used in a fermentation system can significantly affect the cellulase activity of Cellulomonas flavigena PR-22, as well as other microorganisms.
Optimization of process parameters like stirring speed (agitation) is typically done empirically, using design of experiment (DoE) approaches to find the best combination of conditions for a particular system and desired outcome. Therefore, the specific "stirring speed" can vary depending on the specific experimental setup and objectives.
For example, in a 2016 study published in Biotechnology for Biofuels, the researchers used a stirring speed of 150 rpm for their fermentation process with Cellulomonas flavigena PR-22 to achieve high cellulase activity. However, this value might not be optimal for other experimental setups or conditions.
If you are looking for the optimal stirring speed for your specific application, I would recommend performing a series of experiments to determine the best condition. Remember that it's crucial to control other variables (e.g., temperature, pH, and nutrient concentration) during this optimization process.</t>
  </si>
  <si>
    <t>150 rpm</t>
  </si>
  <si>
    <t>The optimal pH for the catalytic reaction of β-glucosidase from Thermus thermophilus KNUC202 is around 5.0-6.0. This enzyme belongs to glycosyl hydrolase family 1 and has an acidic optimum pH. The optimal pH value may vary slightly depending on the specific assay conditions used, such as buffer type and concentration, temperature, and substrate used. It is always recommended to perform experiments at different pH values to determine the optimal pH for a particular enzyme and reaction condition.</t>
  </si>
  <si>
    <t>5.0-6.0</t>
  </si>
  <si>
    <t>The optimal temperature for the catalytic reaction of β-glucosidase from Thermus thermophilus KNUC202 is approximately 80-90°C. This enzyme is a thermostable beta-glucosidase, which is known to have high activity at relatively high temperatures. However, the exact optimal temperature may vary depending on the specific assay conditions and substrate used in the reaction. It's always a good idea to consult the primary literature or conduct experiments to determine the optimal temperature for your specific application.</t>
  </si>
  <si>
    <t xml:space="preserve"> 80-90°C</t>
  </si>
  <si>
    <t>β-glucosidase, also known as lactase, is an enzyme that can hydrolyze lactose into glucose and galactose. The optimal temperature for the activity of this enzyme is typically between 30-45°C. However, at temperatures close to pasteurization conditions (which is usually around 63-65°C), β-glucosidase can still retain some of its activity, but it will be significantly reduced.
Studies have shown that the activity of β-glucosidase decreases rapidly as the temperature increases above 50°C, and it is generally agreed that the enzyme retains only about 10-20% of its maximum activity at temperatures around 60°C. Therefore, while some hydrolysis of lactose may still occur at pasteurization temperatures, it is likely to be much slower and less complete than at lower temperatures.
It's worth noting that the exact temperature at which β-glucosidase can still effectively hydrolyze lactose will depend on various factors, such as the specific source of the enzyme, its purity, and the buffer conditions in which it is used.</t>
  </si>
  <si>
    <t>63-65°C</t>
  </si>
  <si>
    <t>The metal ion that can enhance the activity of the zinc-dependent enzyme ADH-'A' (alcohol dehydrogenase isotope) is often magnesium (Mg2+). Alcohol dehydrogenase (ADH) is a zinc-containing enzyme, and while adding more zinc might seem like the logical choice, it can actually inhibit the activity of ADH. Magnesium ions, however, can help to stabilize the structure of the enzyme and enhance its catalytic activity. This makes magnesium a suitable metal ion to add to the culture medium when working with ADH-'A'.</t>
  </si>
  <si>
    <t>Mg2+</t>
  </si>
  <si>
    <t>I am not aware of any specific study that has determined the optimal reaction pH and temperature for the recombinant yeast succinic semialdehyde dehydrogenase (SSADH) expressed in Escherichia coli BL21/pET-16b-SSADH. In general, the optimal conditions for enzyme activity can vary widely depending on the specific enzyme and assay conditions.
However, for many dehydrogenase enzymes, including SSADH, the optimal pH is often around neutral (pH 7) because this is the pH at which the active site of the enzyme is most likely to be in its correct conformation for catalysis. The temperature dependence of enzyme activity can also vary widely, but many enzymes have an optimum temperature in the range of 25-40°C.
It is recommended to perform experiments to determine the optimal pH and temperature for this specific enzyme preparation by testing a range of values and measuring enzyme activity under each condition. This can help ensure that the enzyme is functioning at its highest possible rate, which can be important for downstream applications such as biochemical assays or protein production.</t>
  </si>
  <si>
    <t>7,25-40°C</t>
  </si>
  <si>
    <t>I am not able to provide real-time information or access specific research studies. However, I can tell you that the highest filter paper activity (FPase) achieved on day 6 using steam-pretreated wheat bran as the substrate under solid-state fermentation conditions with a mixed culture of Trichoderma reesei and Penicillium citrinum is not readily available. The FPase value can vary depending on various factors such as the specific strain of the microorganisms, pretreatment methods, and fermentation conditions. I would recommend looking up recent scientific literature or research articles related to this topic for more detailed information.</t>
  </si>
  <si>
    <t>I'm sorry for any confusion, but the specific Michaelis constant (Km) for the endo-β-1,4-xylanase (XynA) from Clostridium cellulovorans displayed on the surface of E. coli using the AIDA system, when using beechwood xylan as the substrate, is not available in the current scientific literature that I have access to. The Km value is a characteristic constant for each enzyme-substrate pair and can vary depending on experimental conditions. Therefore, it would require a specific experiment to determine this constant for this particular system.</t>
  </si>
  <si>
    <t>I am not able to provide real-time calculations or recommendations, but I can tell you that the optimal pH for the activity of XylD from Fusarium graminearum has been reported to be around 5.0 when using different substrates such as oat spelt xylan or birchwood xylan. It is important to note that the optimum pH can vary depending on the specific experimental conditions and assay methods used in different studies, so it's always a good idea to consult the relevant literature for more detailed information.</t>
  </si>
  <si>
    <t>I cannot provide you with the specific data for the highest protease activity (U/mL) produced by Bacillus subtilis B22 in a basic medium containing casein under blue LED illumination, as I don't have access to real-time information or specific experimental results. To find this data, you may need to consult scientific literature, research articles, or databases related to the subject.
In general, when working with microorganisms and enzyme production, it is essential to optimize various factors such as medium composition, temperature, pH, and illumination conditions. In this case, the researchers have used blue LED illumination, which might affect the protease activity. The fermentation time for peak enzyme activity varies depending on the specific strain and growth conditions. It is common to monitor enzyme production at different time points during fermentation to identify the optimal time for maximum enzyme activity.
To find more information about this topic, consider searching databases like PubMed, Google Scholar, or research platforms like ResearchGate or Mendeley for articles and studies on Bacillus subtilis B22 protease production under blue LED illumination. This should help you discover the peak activity and fermentation time related to your question.</t>
  </si>
  <si>
    <t>The purified protease from Bacillus subtilis B22 can be significantly enhanced by certain metal ions. According to a study published in the Journal of Bacteriology, the addition of 5 mM of the following metal ions resulted in increased protease activity:
Ca²+ (calcium)
Mn²+ (manganese)
Mg²+ (magnesium)
These metal ions are thought to play a role in the stabilization of the enzyme's structure and/or the promotion of its catalytic activity. However, other metal ions such as Zn²+ (zinc), Cd²+ (cadmium), Hg²+ (mercury), Cu²+ (copper), Fe²+ (iron), Co²+ (cobalt), and Ni²+ (nickel) inhibited the protease activity at the same concentration.</t>
  </si>
  <si>
    <t>I am unable to provide real-time responses or access current information since I do not have internet access or the ability to browse the web. However, I can help you with a general explanation or conceptual query based on the data or knowledge I have been previously trained on.
In a study published in the journal Biotechnology for Biofuels, researchers investigated the production of xylanase (XYN2) from the filamentous fungus Thermomyces lanuginosus using the methylotrophic yeast Pichia pastoris strain TQ77 in a 5-liter bioreactor. The highest XYN2 activity achieved was 1,049 nkat/mL at 120 hours of induction.
If you have specific questions related to the study or need help understanding the concepts behind it, please provide more context, and I will do my best to assist you.</t>
  </si>
  <si>
    <t>I don't have specific information about an experiment where wheat straw pulp was pretreated with recombinant xylanase for biobleaching and the chlorine dioxide savings achieved. In general, the use of xylanases in biobleaching can result in significant chlorine dioxide savings, but the exact percentage varies depending on several factors such as the type of lignocellulosic material, the specific conditions of the biobleaching process, and the efficiency of the xylanase used. Therefore, I would be unable to provide an accurate percentage without more information.</t>
  </si>
  <si>
    <t>The enzyme β-glucuronidase, also known as GUSB or PGU (prostatic glucuronidase), can be affected by various ions. The most common ions that affect enzyme activity include metal ions such as calcium (Ca2+), magnesium (Mg2+), and zinc (Zn2+). These ions can act as cofactors, which help stabilize the enzyme's structure or facilitate its catalytic function.
However, other ions like sodium (Na+), potassium (K+), and chloride (Cl-) generally do not have a significant impact on β-glucuronidase activity at physiological concentrations.
On the other hand, some ions can inhibit β-glucuronidase activity. For example, heavy metal ions like mercury (Hg2+), lead (Pb2+), and cadmium (Cd2+) are known to be potent enzyme inhibitors by binding to critical residues in the active site or causing conformational changes that impair enzymatic function.
Anionic species such as fluoride (F-), nitrate (NO3-), and phosphate (PO43-) can also inhibit β-glucuronidase activity at high concentrations, although their effects are usually weaker than those of heavy metal ions. The exact mechanisms by which these anions inhibit the enzyme are not well understood but may involve competition with substrates for active site binding or indirect effects on enzyme stability.</t>
  </si>
  <si>
    <r>
      <rPr>
        <sz val="11"/>
        <color theme="1"/>
        <rFont val="等线"/>
        <charset val="134"/>
        <scheme val="minor"/>
      </rPr>
      <t>Activation: Mg²</t>
    </r>
    <r>
      <rPr>
        <sz val="11"/>
        <color theme="1"/>
        <rFont val="MS Gothic"/>
        <charset val="1"/>
      </rPr>
      <t>⁺</t>
    </r>
    <r>
      <rPr>
        <sz val="11"/>
        <color theme="1"/>
        <rFont val="等线"/>
        <charset val="128"/>
        <scheme val="minor"/>
      </rPr>
      <t>,Ca2+,Zn2+</t>
    </r>
    <r>
      <rPr>
        <sz val="11"/>
        <color theme="1"/>
        <rFont val="等线"/>
        <charset val="134"/>
        <scheme val="minor"/>
      </rPr>
      <t xml:space="preserve"> Inhibition: Hg2+,Pb2+, Cd2+ ,F-,NO3-,PO43-</t>
    </r>
  </si>
  <si>
    <t>Aspartate transcarbamylase (ATCase) is an important enzyme in the regulation of the first committed step in de novo pyrimidine biosynthesis. It catalyzes the reaction between aspartate and carbamoyl phosphate to form N-carbamoyl-L-aspartate.
Like many enzymes, ATCase is sensitive to changes in pH and functions optimally within a specific range. In general, most enzymes have an optimal pH at or near neutral (pH 7), although there are many exceptions to this rule. The activity of ATCase has been shown to be highest at a pH around 7.4-8.0, depending on the source of the enzyme.
At pH values outside of this optimal range, the activity of ATCase decreases. At acidic pH values (less than 6), the activity of ATCase is reduced due to protonation of key amino acid residues in the active site, which can interfere with substrate binding and catalysis. At basic pH values (greater than 8), the activity of ATCase is also reduced due to deprotonation of these same residues, which can lead to destabilization of the enzyme structure and decreased stability.
In addition to its effect on enzymatic activity, changes in pH can also affect the regulation of ATCase. The enzyme is subject to feedback inhibition by UTP, a downstream product in the pyrimidine biosynthesis pathway. This inhibition is enhanced at acidic pH values, allowing for more precise control of pyrimidine biosynthesis under different physiological conditions.
Overall, ATCase functions best at slightly alkaline pH values and is sensitive to changes in pH that can affect both its activity and regulation. This sensitivity to pH allows the enzyme to respond to changes in cellular conditions and maintain proper control over pyrimidine biosynthesis.</t>
  </si>
  <si>
    <t>increases from 6 to 8</t>
  </si>
  <si>
    <t>I don't have real-time access to databases or literature to provide the most current and accurate information. However, according to a study published in the journal "Protein Expression and Purification" in 2006, the optimal pH for the production of protease by Bacillus subtilis B22 was found to be around 8.5. Please consult the latest scientific literature or contact the relevant laboratory for the most accurate and up-to-date information.</t>
  </si>
  <si>
    <t>2,3-Butanediol (2,3-BDO) is a chemical compound that can be produced through microbial fermentation. Aeration is an important process in fermentation as it provides oxygen needed by the microorganisms for growth and metabolism. The appropriate aeration rate for 2,3-BDO production depends on several factors including the specific microorganism used, the fermentation medium, the reactor design, and the scale of the fermentation process.
Generally, a sufficient oxygen supply is required to achieve high cell densities and high 2,3-BDO productivities. However, excessive aeration can lead to increased foaming and energy consumption, which may negatively affect the fermentation performance and economics. Therefore, it is crucial to optimize the aeration rate to provide enough oxygen without causing any adverse effects.
The optimal aeration rate for 2,3-BDO production has been reported to be in the range of 0.5-2 vvm (volume of air per volume of liquid per minute) depending on the specific conditions. However, this value can vary significantly depending on the system and factors mentioned above. Therefore, it is recommended to conduct experiments to determine the appropriate aeration rate for a specific 2,3-BDO fermentation process.</t>
  </si>
  <si>
    <t>0.5-2 vvm</t>
  </si>
  <si>
    <t xml:space="preserve">The optimal pH for producing cellulase using Aspergillus niger is typically around 4.5-5.5. This fungal species grows well in
acidic conditions, which are suitable for the secretion of cellulolytic enzymes that can break down cellulose into simpler sugars.
It's important to maintain this pH range throughout the fermentation process to ensure optimal enzyme production.
</t>
  </si>
  <si>
    <t>4.5-5.5</t>
  </si>
  <si>
    <t>The optimal pH for laccase activity with guaiacol as the substrate varies depending on the specific laccase enzyme source, but it generally falls within the mildly acidic to neutral range. For example, laccase from the white-rot fungus Trametes versicolor typically shows maximum activity at around pH 3.0-4.5 with guaiacol as the substrate. However, other laccase sources may have different optimal pH values. Therefore, it is essential to determine the optimal pH for a specific laccase-guaiacol system experimentally.</t>
  </si>
  <si>
    <t>3.0-4.5</t>
  </si>
  <si>
    <t>The highest cellulase activity achieved by Trichoderma reesei NCIM 992 strain during solid-state fermentation using wheat bran as the substrate under optimal conditions (500μm particle size, 70% moisture, pH 5.0, 30°C) is reported to be around 14 Filter Paper Units (FPU)/mL, which is equivalent to approximately 28 U/mL of cellulase activity. However, it's important to note that the exact value can vary depending on the specific experimental conditions and the methods used for measuring enzyme activity.</t>
  </si>
  <si>
    <t>14 Filter Paper Units (FPU)/mL</t>
  </si>
  <si>
    <t>Under the optimal solid-state fermentation conditions (500 μm particle size, 70% moisture, pH 5.0, 30°C) with wheat bran as the substrate, the highest filter paper cellulase (FPase) activity reported for Trichoderma reesei NCIM 992 is approximately 12.5 U/mL. This value represents the peak enzymatic activity typically observed during the fermentation process.</t>
  </si>
  <si>
    <t>12.5 U/mL</t>
  </si>
  <si>
    <t>The optimal catalytic temperature for the recombinant β-xylosidase Xyl43B from Clostridium stercorarium is 70°C. This thermostable enzyme exhibits peak activity at elevated temperatures consistent with the thermophilic nature of its source organism.</t>
  </si>
  <si>
    <t>70°C</t>
  </si>
  <si>
    <t>The optimal pH for the catalytic reaction of the recombinant β-xylosidase Xyl43B from Clostridium stercorarium is pH 6.0. This slightly acidic pH maximizes its activity under typical assay conditions.</t>
  </si>
  <si>
    <t>The optimal temperature for the catalytic hydrolysis of o-nitrophenyl-β-galactoside (oNPG) by recombinant β-galactosidase is 50°C for the most commonly used enzyme (e.g., E. coli LacZ). However, this value can range from 40°C to 65°C depending on the enzyme's biological source and engineered variants.</t>
  </si>
  <si>
    <t xml:space="preserve"> 40°C to 65°C</t>
  </si>
  <si>
    <r>
      <rPr>
        <sz val="11"/>
        <color theme="1"/>
        <rFont val="等线"/>
        <charset val="134"/>
        <scheme val="minor"/>
      </rPr>
      <t xml:space="preserve">Recombinant β-galactosidase maintains stability over a </t>
    </r>
    <r>
      <rPr>
        <b/>
        <sz val="11"/>
        <color theme="1"/>
        <rFont val="等线"/>
        <charset val="134"/>
        <scheme val="minor"/>
      </rPr>
      <t>pH range of 6.0 to 8.5</t>
    </r>
    <r>
      <rPr>
        <sz val="11"/>
        <color theme="1"/>
        <rFont val="等线"/>
        <charset val="134"/>
        <scheme val="minor"/>
      </rPr>
      <t xml:space="preserve"> for most common variants (e.g., </t>
    </r>
    <r>
      <rPr>
        <i/>
        <sz val="11"/>
        <color theme="1"/>
        <rFont val="等线"/>
        <charset val="134"/>
        <scheme val="minor"/>
      </rPr>
      <t>E. coli</t>
    </r>
    <r>
      <rPr>
        <sz val="11"/>
        <color theme="1"/>
        <rFont val="等线"/>
        <charset val="134"/>
        <scheme val="minor"/>
      </rPr>
      <t xml:space="preserve"> LacZ), though extremes vary by source: thermophilic enzymes (e.g., </t>
    </r>
    <r>
      <rPr>
        <i/>
        <sz val="11"/>
        <color theme="1"/>
        <rFont val="等线"/>
        <charset val="134"/>
        <scheme val="minor"/>
      </rPr>
      <t>Thermus thermophilus</t>
    </r>
    <r>
      <rPr>
        <sz val="11"/>
        <color theme="1"/>
        <rFont val="等线"/>
        <charset val="134"/>
        <scheme val="minor"/>
      </rPr>
      <t xml:space="preserve">) tolerate </t>
    </r>
    <r>
      <rPr>
        <b/>
        <sz val="11"/>
        <color theme="1"/>
        <rFont val="等线"/>
        <charset val="134"/>
        <scheme val="minor"/>
      </rPr>
      <t>pH 5.5–9.0</t>
    </r>
    <r>
      <rPr>
        <sz val="11"/>
        <color theme="1"/>
        <rFont val="等线"/>
        <charset val="134"/>
        <scheme val="minor"/>
      </rPr>
      <t xml:space="preserve">, while cold-adapted types (e.g., </t>
    </r>
    <r>
      <rPr>
        <i/>
        <sz val="11"/>
        <color theme="1"/>
        <rFont val="等线"/>
        <charset val="134"/>
        <scheme val="minor"/>
      </rPr>
      <t>Arthrobacter</t>
    </r>
    <r>
      <rPr>
        <sz val="11"/>
        <color theme="1"/>
        <rFont val="等线"/>
        <charset val="134"/>
        <scheme val="minor"/>
      </rPr>
      <t xml:space="preserve"> sp.) are limited to </t>
    </r>
    <r>
      <rPr>
        <b/>
        <sz val="11"/>
        <color theme="1"/>
        <rFont val="等线"/>
        <charset val="134"/>
        <scheme val="minor"/>
      </rPr>
      <t>pH 6.0–8.0</t>
    </r>
    <r>
      <rPr>
        <sz val="11"/>
        <color theme="1"/>
        <rFont val="等线"/>
        <charset val="134"/>
        <scheme val="minor"/>
      </rPr>
      <t>.</t>
    </r>
  </si>
  <si>
    <t>6.0–8.5</t>
  </si>
  <si>
    <r>
      <rPr>
        <sz val="11"/>
        <color theme="1"/>
        <rFont val="等线"/>
        <charset val="134"/>
        <scheme val="minor"/>
      </rPr>
      <t xml:space="preserve">At a </t>
    </r>
    <r>
      <rPr>
        <b/>
        <sz val="11"/>
        <color theme="1"/>
        <rFont val="等线"/>
        <charset val="134"/>
        <scheme val="minor"/>
      </rPr>
      <t>10% (v/v) concentration</t>
    </r>
    <r>
      <rPr>
        <sz val="11"/>
        <color theme="1"/>
        <rFont val="等线"/>
        <charset val="134"/>
        <scheme val="minor"/>
      </rPr>
      <t xml:space="preserve">, organic solvents such as </t>
    </r>
    <r>
      <rPr>
        <b/>
        <sz val="11"/>
        <color theme="1"/>
        <rFont val="等线"/>
        <charset val="134"/>
        <scheme val="minor"/>
      </rPr>
      <t>glycerol</t>
    </r>
    <r>
      <rPr>
        <sz val="11"/>
        <color theme="1"/>
        <rFont val="等线"/>
        <charset val="134"/>
        <scheme val="minor"/>
      </rPr>
      <t xml:space="preserve"> and </t>
    </r>
    <r>
      <rPr>
        <b/>
        <sz val="11"/>
        <color theme="1"/>
        <rFont val="等线"/>
        <charset val="134"/>
        <scheme val="minor"/>
      </rPr>
      <t>dimethyl sulfoxide (DMSO)</t>
    </r>
    <r>
      <rPr>
        <sz val="11"/>
        <color theme="1"/>
        <rFont val="等线"/>
        <charset val="134"/>
        <scheme val="minor"/>
      </rPr>
      <t xml:space="preserve"> can enhance the activity of 尾-galactosidase by improving enzyme stability and substrate solubility. Glycerol is most consistently reported for this effect.</t>
    </r>
  </si>
  <si>
    <r>
      <rPr>
        <b/>
        <sz val="11"/>
        <color theme="1"/>
        <rFont val="等线"/>
        <charset val="134"/>
        <scheme val="minor"/>
      </rPr>
      <t>glycerol</t>
    </r>
    <r>
      <rPr>
        <sz val="11"/>
        <color theme="1"/>
        <rFont val="等线"/>
        <charset val="134"/>
        <scheme val="minor"/>
      </rPr>
      <t xml:space="preserve"> and </t>
    </r>
    <r>
      <rPr>
        <b/>
        <sz val="11"/>
        <color theme="1"/>
        <rFont val="等线"/>
        <charset val="134"/>
        <scheme val="minor"/>
      </rPr>
      <t>dimethyl sulfoxide</t>
    </r>
  </si>
  <si>
    <r>
      <rPr>
        <sz val="11"/>
        <color theme="1"/>
        <rFont val="等线"/>
        <charset val="134"/>
        <scheme val="minor"/>
      </rPr>
      <t xml:space="preserve">The optimal temperature for the catalytic degradation of cellouronate by </t>
    </r>
    <r>
      <rPr>
        <b/>
        <sz val="11"/>
        <color theme="1"/>
        <rFont val="等线"/>
        <charset val="134"/>
        <scheme val="minor"/>
      </rPr>
      <t xml:space="preserve">glucose aldonic acid lyase (TrGL) from </t>
    </r>
    <r>
      <rPr>
        <b/>
        <i/>
        <sz val="11"/>
        <color theme="1"/>
        <rFont val="等线"/>
        <charset val="134"/>
        <scheme val="minor"/>
      </rPr>
      <t>Trichoderma reesei</t>
    </r>
    <r>
      <rPr>
        <sz val="11"/>
        <color theme="1"/>
        <rFont val="等线"/>
        <charset val="134"/>
        <scheme val="minor"/>
      </rPr>
      <t xml:space="preserve"> is </t>
    </r>
    <r>
      <rPr>
        <b/>
        <sz val="11"/>
        <color theme="1"/>
        <rFont val="等线"/>
        <charset val="134"/>
        <scheme val="minor"/>
      </rPr>
      <t>50°C</t>
    </r>
    <r>
      <rPr>
        <sz val="11"/>
        <color theme="1"/>
        <rFont val="等线"/>
        <charset val="134"/>
        <scheme val="minor"/>
      </rPr>
      <t>.</t>
    </r>
  </si>
  <si>
    <t>50°C</t>
  </si>
  <si>
    <r>
      <rPr>
        <sz val="11"/>
        <color theme="1"/>
        <rFont val="等线"/>
        <charset val="134"/>
        <scheme val="minor"/>
      </rPr>
      <t xml:space="preserve">The engineered strain </t>
    </r>
    <r>
      <rPr>
        <b/>
        <sz val="11"/>
        <color theme="1"/>
        <rFont val="等线"/>
        <charset val="134"/>
        <scheme val="minor"/>
      </rPr>
      <t>BR8</t>
    </r>
    <r>
      <rPr>
        <sz val="11"/>
        <color theme="1"/>
        <rFont val="等线"/>
        <charset val="134"/>
        <scheme val="minor"/>
      </rPr>
      <t xml:space="preserve"> achieves a </t>
    </r>
    <r>
      <rPr>
        <b/>
        <sz val="11"/>
        <color theme="1"/>
        <rFont val="等线"/>
        <charset val="134"/>
        <scheme val="minor"/>
      </rPr>
      <t>final ethanol concentration of 14.2% (v/v)</t>
    </r>
    <r>
      <rPr>
        <sz val="11"/>
        <color theme="1"/>
        <rFont val="等线"/>
        <charset val="134"/>
        <scheme val="minor"/>
      </rPr>
      <t xml:space="preserve"> during direct fermentation of inulin in a 5-liter fermenter under optimized conditions.</t>
    </r>
  </si>
  <si>
    <t>14.2% (v/v)</t>
  </si>
  <si>
    <r>
      <rPr>
        <sz val="11"/>
        <color theme="1"/>
        <rFont val="等线"/>
        <charset val="134"/>
        <scheme val="minor"/>
      </rPr>
      <t xml:space="preserve">The engineered strain </t>
    </r>
    <r>
      <rPr>
        <b/>
        <sz val="11"/>
        <color theme="1"/>
        <rFont val="等线"/>
        <charset val="134"/>
        <scheme val="minor"/>
      </rPr>
      <t>BR8</t>
    </r>
    <r>
      <rPr>
        <sz val="11"/>
        <color theme="1"/>
        <rFont val="等线"/>
        <charset val="134"/>
        <scheme val="minor"/>
      </rPr>
      <t xml:space="preserve"> achieves a </t>
    </r>
    <r>
      <rPr>
        <b/>
        <sz val="11"/>
        <color theme="1"/>
        <rFont val="等线"/>
        <charset val="134"/>
        <scheme val="minor"/>
      </rPr>
      <t>maximum cell dry weight (CDW) of 18.5 g/L</t>
    </r>
    <r>
      <rPr>
        <sz val="11"/>
        <color theme="1"/>
        <rFont val="等线"/>
        <charset val="134"/>
        <scheme val="minor"/>
      </rPr>
      <t xml:space="preserve"> during fermentation under optimal conditions (inulin substrate, 5-L fermenter, controlled pH and aeration).</t>
    </r>
  </si>
  <si>
    <t>18.5 g/L</t>
  </si>
  <si>
    <t>The highest filter paper activity (FPase) reported for Cellulomonas flavigena PR-22 using organic fraction of municipal solid waste (OFMSW) at 2% volatile solids (VS) concentration is 4.8 U/mL (or 4800 FPU/L).</t>
  </si>
  <si>
    <t>4800 FPU/L</t>
  </si>
  <si>
    <t>The stirring speed used in the fermentation system of Cellulomonas flavigena PR-22 to achieve the highest xylanase activity is 200 rpm. This speed optimizes oxygen transfer and nutrient mixing while avoiding shear stress that could impair bacterial growth or enzyme production.</t>
  </si>
  <si>
    <t>200 rpm</t>
  </si>
  <si>
    <t>The stirring speed used in the fermentation system of Cellulomonas flavigena PR-22 to achieve the highest cellulase activity (including FPase) is 200 rpm. This speed ensures optimal oxygen transfer and nutrient distribution while minimizing shear stress on bacterial cells.</t>
  </si>
  <si>
    <t>The optimal pH for the catalytic reaction of β-glucosidase from Thermus thermophilus KNOUC202 is pH 6.0.</t>
  </si>
  <si>
    <t>The optimal temperature for the catalytic reaction of β-glucosidase from Thermus thermophilus KNOUC202 is 90°C.</t>
  </si>
  <si>
    <t xml:space="preserve">β-Glucosidase is not typically used for lactose hydrolysis, as it primarily targets β-(1,4)-glucosidic bonds in cellulose-derived substrates (e.g., cellobiose), not the β-(1,4)-galactosidic bond in lactose. For lactose hydrolysis near pasteurization conditions (e.g., 60-72°C), β-galactosidase is the appropriate enzyme. </t>
  </si>
  <si>
    <t>60-72°C</t>
  </si>
  <si>
    <t>The metal ion Zn²⁺ (zinc ion) enhances the activity of the zinc-dependent alcohol dehydrogenase ADH-'A', as it is a cofactor required for its catalytic function. Adding Zn²⁺ to the culture medium ensures proper enzyme folding and stability.</t>
  </si>
  <si>
    <t>The optimal reaction conditions for the recombinant yeast succinic semialdehyde dehydrogenase (SSADH) expressed in Escherichia coli BL21/pET-16b-SSADH are:
    pH 9.0 (alkaline conditions)
    Temperature 40°C</t>
  </si>
  <si>
    <t>9.0 ,40°C</t>
  </si>
  <si>
    <t>The highest filter paper activity (FPase) achieved on day 6 using steam-pretreated wheat bran as the substrate under solid-state fermentation (SSF) with a mixed culture of Trichoderma reesei and Penicillium citrinum is 28.5 U/g dry substrate (U/gds).</t>
  </si>
  <si>
    <t>28.5 U/g dry substrate (U/gds)</t>
  </si>
  <si>
    <t>The Michaelis constant (Kₘ) for the surface-displayed endo-β-1,4-xylanase (XynA) from Clostridium cellulovorans on E. coli using the AIDA system, with beechwood xylan as substrate, is 2.8 mg/mL.</t>
  </si>
  <si>
    <t>2.8 mg/mL</t>
  </si>
  <si>
    <t>The optimal reaction pH for the recombinant endo-1,4-β-xylanase (XylD) from Fusarium graminearum expressed in E. coli, using oat spelt xylan as the substrate, is pH 6.0.</t>
  </si>
  <si>
    <t>The highest protease activity produced by Bacillus subtilis B22 in the basic casein medium under blue LED illumination was 485 U/mL, achieved at 36 hours of fermentation.</t>
  </si>
  <si>
    <t>485 U/mL</t>
  </si>
  <si>
    <t>The activity of the purified protease from Bacillus subtilis B22 was significantly enhanced in the presence of 5 mM of the following metal ions:</t>
  </si>
  <si>
    <t>The highest xylanase (XYN2) activity achieved by Pichia pastoris strain TQ77 in a 5-liter bioreactor was 12,500 nkat mL⁻¹, recorded at 96 hours of methanol induction.</t>
  </si>
  <si>
    <t>12,500 nkat mL⁻¹</t>
  </si>
  <si>
    <t>Pretreatment of wheat straw pulp with recombinant xylanase achieved a 28.5% savings in chlorine dioxide (ClO₂) consumption during subsequent biobleaching.</t>
  </si>
  <si>
    <t>The enzyme activity of β-Glucuronidase (PGUS) is significantly modulated by various ions. Divalent cations, particularly Mg²⁺ and K⁺, often act as activators or essential cofactors. Conversely, heavy metal ions like Hg²⁺, Cu²⁺, and Ag⁺ are potent inhibitors, typically by denaturing the enzyme or binding to thiol groups. Ca²⁺ and Ba²⁺ act as competitive inhibitors by binding to the Mg²⁺ site without facilitating catalysis. Chelating agents like EDTA inhibit activity by sequestering essential metal ions.</t>
  </si>
  <si>
    <t>Activation: Mg²⁺,K⁺ Inhibition:Cu²⁺,Ca²⁺,Hg²⁺</t>
  </si>
  <si>
    <t>Aspartate Transcarbamoylase (ATCase) is highly sensitive to pH changes due to the critical role of ionizable amino acid residues in its function. Its activity, allosteric regulation, and quaternary structure are all pH-dependent.
    Optimal Activity: ATCase exhibits a sharp activity peak, typically around pH 7.0 - 8.5. This is the range where the active site residues (e.g., His, Lys, Glu) are in their correct protonation states for binding substrates and catalyzing the reaction.
    Low pH (&lt; ~6.0): Activity decreases significantly. The enzyme undergoes a structural change to the T (tense) state, even in the absence of inhibitors. This inactivates the enzyme. The protonation of key histidine residues is crucial for this transition.
    High pH (&gt; ~9.0): Activity also drops. Excessive deprotonation can disrupt the precise electrostatic environment of the active site and potentially destabilize the enzyme's quaternary structure, leading to partial denaturation and loss of function.
    Allosteric Regulation: The effects of allosteric regulators are pH-dependent. For example, the inhibitor CTP is most effective near neutral pH, while the activator ATP can still provide some activation at lower pH, though overall activity is reduced.</t>
  </si>
  <si>
    <t>Effect at Optimal pH (7.0-8.5)</t>
  </si>
  <si>
    <t>The optimal pH for protease production by Bacillus subtilis strain B22 is typically around pH 7.0 (neutral). However, it is crucial to distinguish bet</t>
  </si>
  <si>
    <t>The production of 2,3-Butanediol (2,3-BDO) is highly sensitive to oxygen levels. Microaerobic or oxygen-limited conditions are generally optimal for maximizing yield and productivity.
    High Aeration (Fully Aerobic): Promotes cell growth but leads to the production of unwanted by-products like acetoin and acetic acid, reducing 2,3-BDO yield.
    No Aeration (Strictly Anaerobic): Can stall the process as initial steps in the pathway may require minimal oxygen.
    Low/Alimited Aeration (Microaerobic): This is the ideal strategy. It provides enough oxygen to support cell growth and NAD+ regeneration but is limited enough to shift metabolism away from acid production and towards 2,3-BDO synthesis.</t>
  </si>
  <si>
    <t>Excellent question. The optimal fermentation pH for producing cellulase using Aspergillus niger is a critical factor that significantly influences enzyme yield and stability.
Based on extensive research, the generally accepted optimal pH range is between 4.5 and 5.5.
However, it's important to understand that this is not a single fixed value and can be influenced by several factors.
Key Details and Rationale
    Why pH 4.5 - 5.5 is Optimal:
        Fungal Physiology: A. niger is an acidophilic fungus, meaning it thrives in acidic conditions. This pH range is ideal for its growth and metabolic activity.
        Enzyme Stability: Most cellulase enzymes (especially those from A. niger) are stable and exhibit high activity in this acidic range. A lower pH helps prevent microbial contamination from bacteria that prefer a more neutral pH.
        Regulation of Gene Expression: The expression of genes encoding for various cellulase components (endoglucanases, exoglucanases, β-glucosidases) is often optimally induced within this pH window.
    Variation Within the Range:
        Initial pH vs. Dynamic pH: The "optimal" pH can refer to the initial pH of the medium or a controlled pH maintained throughout fermentation. Studies often show that starting at a pH of around 5.0 and allowing it to drift naturally (as the fungus produces organic acids) or controlling it at 4.8 can yield the best results.
        Specific Enzyme Components: The optimal pH might shift slightly depending on which component of the cellulase complex you want to maximize. For example, β-glucosidase activity might be favored at a pH closer to 4.5, while total filter paper activity (FPase) might peak around 5.0.
Evidence from Scientific Studies
Numerous studies support this pH range:
    A study published in Bioresource Technology found that maintaining a pH of 5.0 resulted in the highest cellulase production from A. niger on wheat bran.
    Research in the Journal of Industrial Microbiology &amp; Biotechnology reported optimal cellulase activity at an initial pH of 4.8.
    Other investigations using different agricultural residues (like sugarcane bagasse) have confirmed that activity drops significantly outside the pH 4.5-5.5 range.
Factors Influencing the Optimal pH
The "perfect" pH for your specific fermentation can depend on:
    Strain of A. niger: Different wild-type or mutant strains can have slightly different pH optima.
    Growth Substrate: Using a pure cellulose (like Avicel) versus a complex lignocellulosic waste (like rice straw) can affect the pH profile due to the presence of other compounds.
    Fermentation Mode: Submerged Fermentation (SmF) often allows for precise pH control, while Solid-State Fermentation (SSF) has a buffering capacity from the solid substrate, making the pH dynamics different.
Practical Recommendation
For a standard laboratory or industrial process using Aspergillus niger:
    Set the initial pH of your production medium to 5.0.
    If possible, implement pH control to maintain it between 4.8 and 5.2 throughout the fermentation. This often leads to a more consistent and higher yield than allowing the pH to drop uncontrolled (which can happen due to organic acid production).
In summary, while the general optimal range is pH 4.5 to 5.5, a pH of 5.0 is a robust and widely effective target for maximizing cellulase production with Aspergillus niger. For the highest precision, small-scale experiments should be conducted to fine-tune the pH for your specific strain and substrate.</t>
  </si>
  <si>
    <t>The optimal pH for laccase activity using guaiacol as a substrate is typically in the acidic range, between pH 3.0 and 5.5.
For most fungal laccases, the peak activity with guaiacol is observed around pH 5.0.</t>
  </si>
  <si>
    <t>3.0 - 5.5</t>
  </si>
  <si>
    <t>The optimal temperature for the catalytic reaction of the recombinant β-xylosidase Xyl43B from Clostridium stercorarium is 60°C.</t>
  </si>
  <si>
    <t>60°C</t>
  </si>
  <si>
    <t>The optimal pH value for the catalytic reaction of the recombinant β-xylosidase Xyl43B from Clostridium stercorarium is 5.5. This pH value represents the condition under which the enzyme exhibits its maximum activity and efficiency in breaking down xylooligosaccharides into xylose. Maintaining this pH is crucial for optimizing the enzymatic process in industrial applications, such as the production of biofuels and other biotechnological processes involving lignocellulosic biomass degradation.</t>
  </si>
  <si>
    <t>The optimal temperature for the catalytic hydrolysis of o-nitrophenyl-β-galactoside (oNPG) by recombinant β-galactosidase is typically around 45°C.</t>
  </si>
  <si>
    <t xml:space="preserve"> 45°C</t>
  </si>
  <si>
    <t>Recombinant β-galactosidase can maintain stability over a pH range of 5.0 to 8.0.</t>
  </si>
  <si>
    <t>5.0 to 8.0.</t>
  </si>
  <si>
    <t>Dimethyl sulfoxide (DMSO) at a 10% (v/v) concentration can enhance the activity of β-galactosidase.</t>
  </si>
  <si>
    <t xml:space="preserve">Dimethyl sulfoxide (DMSO) </t>
  </si>
  <si>
    <t>The optimal temperature for the catalytic degradation of cellouronate by glucose aldonic acid lyase (TrGL) from Trichoderma reesei is typically around 50°C.</t>
  </si>
  <si>
    <t>The final ethanol concentration achieved by the engineered strain BR8 during direct fermentation of inulin in a 5-liter fermenter is typically around 8% (v/v).</t>
  </si>
  <si>
    <t>8% (v/v)</t>
  </si>
  <si>
    <t>The maximum cell dry weight achieved by the engineered strain BR8 during fermentation is typically around 10 g/L.</t>
  </si>
  <si>
    <t>10 g/L</t>
  </si>
  <si>
    <t>The highest filter paper activity (FPase) achieved by Cellulomonas flavigena PR-22 using organic solid waste (OFMSW) at a 2% volatile solids (VS) concentration as the substrate is typically around 15 U/g of dry substrate.</t>
  </si>
  <si>
    <t>15 U/g</t>
  </si>
  <si>
    <t>The stirring speed used in the fermentation system of Cellulomonas flavigena PR-22 to achieve the highest xylanase activity is typically around 150 rpm (revolutions per minute).</t>
  </si>
  <si>
    <t>The stirring speed used in the fermentation system of Cellulomonas flavigena PR-22 to achieve the highest cellulase activity is typically around 200 rpm (revolutions per minute).</t>
  </si>
  <si>
    <t>The optimal pH value for the catalytic reaction of 尾-glucosidase from Thermus thermophilus KNOUC202 is typically around 5.5 to 6.0. This pH range provides the best conditions for the enzyme to exhibit its highest activity and stability.</t>
  </si>
  <si>
    <t>5.5 to 6.0</t>
  </si>
  <si>
    <t>The optimal temperature for the catalytic reaction of β-glucosidase from Thermus thermophilus KNOUC202 is 70°C. This thermophilic enzyme exhibits its highest activity and stability at this temperature, making it well-suited for applications that require high-temperature conditions.</t>
  </si>
  <si>
    <t>β-glucosidase can effectively hydrolyze lactose at relatively lower temperatures, close to pasteurization conditions, which are typically around 63°C to 65°C. However, some β-glucosidases are more thermostable and can maintain activity at even lower temperatures, such as 50°C to 60°C.
For lactose hydrolysis, a temperature of around 50°C to 60°C is often effective and practical, as it is below the typical pasteurization temperature but still high enough to ensure good enzymatic activity and reduce the risk of microbial contamination.</t>
  </si>
  <si>
    <t>50°C to 60°C</t>
  </si>
  <si>
    <t>The metal ion that enhances the activity of the zinc-dependent enzyme ADH-'A' (alcohol dehydrogenase) when added to the culture medium is zinc (Zn²⁺) .</t>
  </si>
  <si>
    <t xml:space="preserve">Zn²⁺ </t>
  </si>
  <si>
    <t>The optimal reaction conditions for the recombinant yeast succinic semialdehyde dehydrogenase (SSADH) expressed in Escherichia coli BL21/pET-16b-SSADH are as follows:
    Optimal Reaction pH: 7.5 to 8.0
    Optimal Reaction Temperature: 37°C
These conditions provide the best environment for the enzyme to exhibit its highest activity and stability.</t>
  </si>
  <si>
    <t>7.5 to 8.0, 37°C</t>
  </si>
  <si>
    <t>The highest filter paper activity (FPase) achieved on day 6 using steam-pretreated wheat bran as the substrate under solid-state fermentation conditions with a mixed culture of Trichoderma reesei and Penicillium citrinum is typically around 200 U/g of dry substrate.</t>
  </si>
  <si>
    <t>200 U/g</t>
  </si>
  <si>
    <t>The Michaelis constant (Km) for the endo-β-1,4-xylanase (XynA) from Clostridium cellulovorans displayed on the surface of E. coli using the AIDA system, when using beechwood xylan as the substrate, is approximately 1.5 mg/mL.</t>
  </si>
  <si>
    <t>1.5 mg/mL</t>
  </si>
  <si>
    <t>The optimal reaction pH for the recombinant endo-1,4-β-xylanase (XylD) from Fusarium graminearum, when using oat spelt xylan as the substrate, is typically around 5.0 to 6.0. This pH range is where the enzyme exhibits its highest activity and stability.
Summary:
    Optimal Reaction pH: 5.0 to 6.0
    Substrate: Oat spelt xylan
This pH range is ideal for the catalytic activity of XylD, ensuring efficient hydrolysis of the xylan substrate.</t>
  </si>
  <si>
    <t>5.0 to 6.0</t>
  </si>
  <si>
    <t>Thank you for confirming the details. Here is the summarized information:
Highest Protease Activity:
    Activity: 150 U/mL
    Fermentation Time: 72 hours
This indicates that Bacillus subtilis B22 produces the highest protease activity of 150 U/mL in a basic medium containing casein under blue LED illumination after 72 hours of fermentation.</t>
  </si>
  <si>
    <t xml:space="preserve">150 U/mL at 72 hours. </t>
  </si>
  <si>
    <t>The activity of the purified protease from Bacillus subtilis B22 was significantly enhanced in the presence of 5 mM of the following specific metal ions:
    Ca²⁺ (Calcium)
    Mg²⁺ (Magnesium)
    K⁺ (Potassium)
These metal ions can enhance the activity of the protease by stabilizing the enzyme's structure, facilitating substrate binding, or directly participating in the catalytic mechanism.</t>
  </si>
  <si>
    <t>The highest xylanase (XYN2) activity achieved by the Pichia pastoris strain TQ77 in a 5-liter bioreactor was 120 nkat ml⁻¹. This peak activity was recorded after 96 hours of induction.</t>
  </si>
  <si>
    <t>120 nkat ml⁻¹</t>
  </si>
  <si>
    <t>The use of recombinant xylanase in the pretreatment of wheat straw pulp during biobleaching can significantly reduce the amount of chlorine dioxide needed. Studies have shown that pretreatment with recombinant xylanase can achieve chlorine dioxide savings of up to 30%.</t>
  </si>
  <si>
    <t xml:space="preserve">β-Glucuronidase (PGUS) is an enzyme that catalyzes the hydrolysis of glucuronides. The activity of PGUS can be influenced by various ions, which can either enhance or inhibit the enzyme's catalytic efficiency. Here are some key ions that can affect the activity of β-glucuronidase:
    Cations:
        Magnesium (Mg²⁺): Magnesium ions are often required for optimal activity of β-glucuronidase. They can stabilize the enzyme's structure and facilitate the catalytic process.
        Calcium (Ca²⁺): Calcium ions can also enhance the activity of β-glucuronidase, similar to magnesium ions, by stabilizing the enzyme and promoting substrate binding.
        Zinc (Zn²⁺): Zinc ions can have a positive effect on the activity of β-glucuronidase, although their role is less well-defined compared to magnesium and calcium.
    Anions:
        Chloride (Cl⁻): Chloride ions can sometimes enhance the activity of β-glucuronidase by stabilizing the enzyme or facilitating the catalytic process.
        Sulfate (SO₄²⁻): Sulfate ions can have a similar effect to chloride ions, potentially enhancing the enzyme's activity.
    Inhibitory Ions:
        Copper (Cu²⁺): Copper ions can inhibit the activity of β-glucuronidase by binding to the active site or altering the enzyme's conformation.
        Iron (Fe³⁺): Iron ions, especially in the ferric form, can inhibit the enzyme by causing structural changes or competing with essential cations.
        Mercury (Hg²⁺): Mercury ions are strong inhibitors of β-glucuronidase, likely due to their ability to form strong bonds with sulfur-containing residues in the enzyme, leading to denaturation or inactivation.
        Silver (Ag⁺): Silver ions can also inhibit β-glucuronidase by binding to the enzyme and disrupting its structure or function.
    Other Factors:
        Sodium (Na⁺) and Potassium (K⁺): These monovalent cations generally have a minimal effect on β-glucuronidase activity but can influence the ionic strength of the solution, which can indirectly affect enzyme stability and activity.
</t>
  </si>
  <si>
    <t>Activation:  Mg²⁺, Ca²⁺, Zn²⁺  Inhibition: Cu²⁺, Fe³⁺, Hg²⁺, Ag⁺</t>
  </si>
  <si>
    <t xml:space="preserve">Aspartate Transcarbamoylase (ATCase) is a key enzyme in the de novo synthesis of pyrimidine nucleotides. Its activity is highly sensitive to pH changes, and it performs optimally within a specific pH range. Here's how ATCase typically behaves under different pH conditions:
    Optimal pH:
        Range: The optimal pH for ATCase activity is generally between 7.5 and 8.5. Within this range, the enzyme exhibits its highest catalytic efficiency and stability.
        Reason: At this pH, the ionization states of the amino acid residues in the active site are optimal for substrate binding and catalysis.
    Low pH (Below 7.0):
        Effect: As the pH decreases below 7.0, the activity of ATCase decreases significantly.
        Reason: Lower pH can lead to protonation of critical amino acid residues in the active site, disrupting the enzyme's structure and function. This can result in reduced substrate binding and catalytic efficiency.
    High pH (Above 9.0):
        Effect: As the pH increases above 9.0, the activity of ATCase also decreases.
        Reason: Higher pH can cause deprotonation of essential residues, leading to structural changes that reduce the enzyme's ability to bind substrates and catalyze the reaction.
    Stability:
        Short-Term: ATCase can tolerate short-term deviations from the optimal pH, but prolonged exposure to suboptimal pH conditions can lead to irreversible denaturation and loss of activity.
        Long-Term: Long-term exposure to extreme pH values (either too low or too high) can cause significant damage to the enzyme, reducing its overall stability and functionality.
</t>
  </si>
  <si>
    <t>Optimal pH Range:7.5 and 8.5</t>
  </si>
  <si>
    <t>The optimal pH for Bacillus subtilis B22 to produce protease is typically around 7.0 to 8.0. This range is generally favorable for the growth and enzyme production of B. subtilis strains, including B22. At these pH levels, the microorganism can efficiently synthesize and secrete protease enzymes.</t>
  </si>
  <si>
    <t>7.0 to 8.0</t>
  </si>
  <si>
    <t xml:space="preserve">2,3-Butanediol (2,3-BDO) is a valuable chemical produced through microbial fermentation. Proper aeration is crucial for optimizing the fermentation process and ensuring high yields of 2,3-BDO. The appropriate general aeration for 2,3-BDO production depends on several factors, including the specific microorganism used, the medium composition, and the bioreactor design. However, some general guidelines can be provided:
    Dissolved Oxygen (DO) Levels:
        For aerobic fermentation, maintaining a dissolved oxygen level of around 30-50% of air saturation is often recommended. This ensures that the microorganisms have sufficient oxygen for metabolic activities without causing excessive foaming or shear stress.
    Aeration Rate:
        The aeration rate is typically expressed as liters of air per liter of culture per minute (L/L/min). For 2,3-BDO production, an aeration rate of 1-2 vvm (volumes of air per volume of medium per minute) is commonly used. This rate helps maintain adequate oxygen transfer to the microorganisms.
    Agitation:
        Agitation is often used in conjunction with aeration to ensure proper mixing and oxygen distribution. An agitation speed of 200-400 rpm is typical for many fermentation processes, but this can vary depending on the specific requirements of the microorganism and the bioreactor design.
    Foam Control:
        Excessive aeration can lead to foam formation, which can be problematic. Anti-foaming agents may be added to control foam, and the aeration rate should be adjusted to prevent excessive foaming.
    Microbial Strain:
        Different microbial strains have different oxygen requirements. For example, bacteria like Klebsiella pneumoniae and yeasts like Saccharomyces cerevisiae have been used for 2,3-BDO production, and their specific oxygen needs should be considered.
</t>
  </si>
  <si>
    <t>200-400 rpm</t>
  </si>
  <si>
    <t>The optimal fermentation pH for producing cellulase using Aspergillus niger typically ranges between 4.0 and 5.0. This acidic range is favorable for the growth of A. niger and the production of cellulase enzymes. However, the exact optimal pH can vary slightly depending on specific strain characteristics, culture conditions, and the medium composition used in the fermentation process. It's often beneficial to conduct preliminary experiments to fine-tune the pH for maximum enzyme yield</t>
  </si>
  <si>
    <t>4.0 to 5.0</t>
  </si>
  <si>
    <t>The optimal pH for laccase activity with guaiacol as the substrate is typically around 4.5 to 5.0. This pH range allows the enzyme to exhibit its maximum catalytic efficiency in oxidizing guaiacol, which is a common substrate used to measure laccase activity.</t>
  </si>
  <si>
    <t>4.5 to 5.0</t>
  </si>
  <si>
    <t>In solid-state fermentation using wheat bran as the substrate, the highest cellulase activity (U/ml) achieved by the Trichoderma reesei NCIM 992 strain under optimal conditions (500 μm particle size, 70% moisture, pH 5.0, 30°C) is 150 U/ml.</t>
  </si>
  <si>
    <t>150 U/ml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</si>
</sst>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等线"/>
      <charset val="134"/>
      <scheme val="minor"/>
    </font>
    <font>
      <sz val="18"/>
      <color theme="1"/>
      <name val="等线"/>
      <charset val="134"/>
      <scheme val="minor"/>
    </font>
    <font>
      <b/>
      <sz val="11"/>
      <color theme="1"/>
      <name val="等线"/>
      <charset val="134"/>
      <scheme val="minor"/>
    </font>
    <font>
      <sz val="10"/>
      <color rgb="FF0F1115"/>
      <name val="Segoe U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Tahoma"/>
      <charset val="134"/>
    </font>
    <font>
      <vertAlign val="subscript"/>
      <sz val="11"/>
      <color theme="1"/>
      <name val="等线"/>
      <charset val="134"/>
      <scheme val="minor"/>
    </font>
    <font>
      <sz val="10"/>
      <color rgb="FF0F1115"/>
      <name val="微软雅黑"/>
      <charset val="134"/>
    </font>
    <font>
      <i/>
      <sz val="11"/>
      <color theme="1"/>
      <name val="等线"/>
      <charset val="134"/>
      <scheme val="minor"/>
    </font>
    <font>
      <sz val="11"/>
      <color theme="1"/>
      <name val="Segoe UI Symbol"/>
      <charset val="134"/>
    </font>
    <font>
      <sz val="11"/>
      <color theme="1"/>
      <name val="MS Gothic"/>
      <charset val="1"/>
    </font>
    <font>
      <sz val="11"/>
      <color theme="1"/>
      <name val="Tahoma"/>
      <charset val="1"/>
    </font>
    <font>
      <sz val="11"/>
      <color theme="1"/>
      <name val="等线"/>
      <charset val="134"/>
    </font>
    <font>
      <b/>
      <i/>
      <sz val="11"/>
      <color theme="1"/>
      <name val="等线"/>
      <charset val="134"/>
      <scheme val="minor"/>
    </font>
    <font>
      <sz val="11"/>
      <color theme="1"/>
      <name val="等线"/>
      <charset val="128"/>
      <scheme val="minor"/>
    </font>
    <font>
      <vertAlign val="superscript"/>
      <sz val="11"/>
      <color theme="1"/>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28">
    <xf numFmtId="0" fontId="0" fillId="0" borderId="0" xfId="0">
      <alignment vertical="center"/>
    </xf>
    <xf numFmtId="0" fontId="1" fillId="0" borderId="0" xfId="0" applyFont="1">
      <alignment vertical="center"/>
    </xf>
    <xf numFmtId="0" fontId="2" fillId="0" borderId="0" xfId="0" applyFont="1" applyAlignment="1">
      <alignment horizontal="center" vertical="center" wrapText="1"/>
    </xf>
    <xf numFmtId="0" fontId="0" fillId="0" borderId="0" xfId="0" applyFont="1">
      <alignment vertical="center"/>
    </xf>
    <xf numFmtId="0" fontId="3" fillId="0" borderId="0" xfId="0" applyFont="1">
      <alignment vertical="center"/>
    </xf>
    <xf numFmtId="0" fontId="0" fillId="0" borderId="0" xfId="0" applyFont="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3" fillId="0" borderId="0" xfId="0" applyFont="1" applyFill="1">
      <alignment vertical="center"/>
    </xf>
    <xf numFmtId="0" fontId="2" fillId="0" borderId="0" xfId="0" applyFont="1">
      <alignment vertical="center"/>
    </xf>
    <xf numFmtId="9" fontId="3" fillId="0" borderId="0" xfId="0" applyNumberFormat="1" applyFont="1">
      <alignment vertical="center"/>
    </xf>
    <xf numFmtId="0" fontId="0" fillId="0" borderId="0" xfId="0" applyNumberFormat="1" applyFont="1" applyFill="1" applyBorder="1" applyAlignment="1" applyProtection="1">
      <alignment vertical="center"/>
    </xf>
    <xf numFmtId="0" fontId="0" fillId="0" borderId="0" xfId="0" applyFont="1" applyFill="1" applyAlignment="1">
      <alignment vertical="center"/>
    </xf>
    <xf numFmtId="0" fontId="0" fillId="0" borderId="0" xfId="0" applyFill="1">
      <alignment vertical="center"/>
    </xf>
    <xf numFmtId="58" fontId="0" fillId="0" borderId="0" xfId="0" applyNumberFormat="1" applyFont="1" applyAlignment="1">
      <alignment vertical="center" wrapText="1"/>
    </xf>
    <xf numFmtId="0" fontId="0" fillId="0" borderId="0" xfId="0" applyFont="1" applyFill="1" applyAlignment="1">
      <alignment vertical="center" wrapText="1"/>
    </xf>
    <xf numFmtId="58" fontId="0" fillId="0" borderId="0" xfId="0" applyNumberFormat="1" applyFill="1">
      <alignment vertical="center"/>
    </xf>
    <xf numFmtId="0" fontId="0" fillId="0" borderId="0" xfId="0" applyFill="1">
      <alignment vertical="center"/>
    </xf>
    <xf numFmtId="0" fontId="1" fillId="0" borderId="0" xfId="0" applyFont="1" applyFill="1">
      <alignment vertical="center"/>
    </xf>
    <xf numFmtId="0" fontId="3" fillId="0" borderId="0" xfId="0" applyFont="1" applyFill="1">
      <alignment vertical="center"/>
    </xf>
    <xf numFmtId="9" fontId="3" fillId="0" borderId="0" xfId="0" applyNumberFormat="1" applyFont="1" applyFill="1">
      <alignment vertical="center"/>
    </xf>
    <xf numFmtId="10" fontId="0" fillId="0" borderId="0" xfId="0" applyNumberFormat="1" applyFont="1">
      <alignment vertical="center"/>
    </xf>
    <xf numFmtId="0" fontId="3" fillId="0" borderId="0" xfId="0" applyNumberFormat="1" applyFont="1" applyFill="1" applyBorder="1" applyAlignment="1" applyProtection="1">
      <alignment vertical="center"/>
    </xf>
    <xf numFmtId="0" fontId="0" fillId="0" borderId="0" xfId="0" applyFont="1" applyFill="1">
      <alignment vertical="center"/>
    </xf>
    <xf numFmtId="0" fontId="0" fillId="0" borderId="0" xfId="0" applyFill="1" applyAlignment="1">
      <alignment vertical="center" wrapText="1"/>
    </xf>
    <xf numFmtId="9" fontId="0" fillId="0" borderId="0" xfId="0" applyNumberFormat="1">
      <alignment vertical="center"/>
    </xf>
    <xf numFmtId="0" fontId="0" fillId="0" borderId="0" xfId="0" applyFont="1" applyFill="1" applyAlignment="1">
      <alignment vertical="center"/>
    </xf>
    <xf numFmtId="0" fontId="0"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tabSelected="1" zoomScale="55" zoomScaleNormal="55" topLeftCell="B28" workbookViewId="0">
      <selection activeCell="L31" sqref="L31"/>
    </sheetView>
  </sheetViews>
  <sheetFormatPr defaultColWidth="9" defaultRowHeight="13.8"/>
  <cols>
    <col min="1" max="1" width="39.3333333333333" customWidth="1"/>
    <col min="2" max="2" width="148.888888888889" customWidth="1"/>
    <col min="3" max="3" width="33.1111111111111" style="17" customWidth="1"/>
    <col min="4" max="4" width="25.2314814814815" customWidth="1"/>
    <col min="5" max="5" width="49.3333333333333" customWidth="1"/>
    <col min="8" max="8" width="12.8888888888889"/>
    <col min="10" max="12" width="12.8888888888889"/>
  </cols>
  <sheetData>
    <row r="1" s="1" customFormat="1" ht="27.6" spans="1:12">
      <c r="A1" s="1" t="s">
        <v>0</v>
      </c>
      <c r="B1" s="1" t="s">
        <v>1</v>
      </c>
      <c r="C1" s="18" t="s">
        <v>2</v>
      </c>
      <c r="D1" s="1" t="s">
        <v>3</v>
      </c>
      <c r="E1" s="1" t="s">
        <v>4</v>
      </c>
      <c r="F1" s="1" t="s">
        <v>5</v>
      </c>
      <c r="G1" s="2" t="s">
        <v>6</v>
      </c>
      <c r="H1" s="2" t="s">
        <v>7</v>
      </c>
      <c r="I1" s="2" t="s">
        <v>8</v>
      </c>
      <c r="J1" s="2" t="s">
        <v>9</v>
      </c>
      <c r="K1" s="2" t="s">
        <v>10</v>
      </c>
      <c r="L1" s="2" t="s">
        <v>11</v>
      </c>
    </row>
    <row r="2" ht="289.8" spans="1:12">
      <c r="A2" s="3" t="s">
        <v>12</v>
      </c>
      <c r="B2" s="6" t="s">
        <v>13</v>
      </c>
      <c r="C2" s="19" t="s">
        <v>14</v>
      </c>
      <c r="D2" t="s">
        <v>14</v>
      </c>
      <c r="E2" t="s">
        <v>15</v>
      </c>
      <c r="F2" s="6" t="s">
        <v>16</v>
      </c>
      <c r="G2">
        <v>1</v>
      </c>
      <c r="H2">
        <v>0</v>
      </c>
      <c r="I2">
        <v>1</v>
      </c>
      <c r="J2">
        <v>1</v>
      </c>
      <c r="K2">
        <v>1</v>
      </c>
      <c r="L2">
        <f t="shared" ref="L2:L31" si="0">ROUND(2*J2*K2/(J2+K2),2)</f>
        <v>1</v>
      </c>
    </row>
    <row r="3" ht="386.4" spans="1:12">
      <c r="A3" s="3" t="s">
        <v>17</v>
      </c>
      <c r="B3" s="6" t="s">
        <v>18</v>
      </c>
      <c r="C3" s="19">
        <v>3.5</v>
      </c>
      <c r="D3">
        <v>3.5</v>
      </c>
      <c r="E3" t="s">
        <v>15</v>
      </c>
      <c r="F3" s="6" t="s">
        <v>19</v>
      </c>
      <c r="G3">
        <v>1</v>
      </c>
      <c r="H3">
        <v>0</v>
      </c>
      <c r="I3">
        <v>1</v>
      </c>
      <c r="J3">
        <v>1</v>
      </c>
      <c r="K3">
        <v>1</v>
      </c>
      <c r="L3">
        <f t="shared" si="0"/>
        <v>1</v>
      </c>
    </row>
    <row r="4" ht="78" customHeight="1" spans="1:12">
      <c r="A4" s="3" t="s">
        <v>20</v>
      </c>
      <c r="B4" s="5" t="s">
        <v>21</v>
      </c>
      <c r="C4" s="19" t="s">
        <v>22</v>
      </c>
      <c r="D4" t="s">
        <v>22</v>
      </c>
      <c r="E4" t="s">
        <v>23</v>
      </c>
      <c r="F4" t="s">
        <v>24</v>
      </c>
      <c r="G4">
        <v>1</v>
      </c>
      <c r="H4">
        <v>0</v>
      </c>
      <c r="I4">
        <v>1</v>
      </c>
      <c r="J4">
        <v>1</v>
      </c>
      <c r="K4">
        <v>1</v>
      </c>
      <c r="L4">
        <f t="shared" si="0"/>
        <v>1</v>
      </c>
    </row>
    <row r="5" ht="96.6" spans="1:12">
      <c r="A5" s="3" t="s">
        <v>25</v>
      </c>
      <c r="B5" s="6" t="s">
        <v>26</v>
      </c>
      <c r="C5" s="19" t="s">
        <v>27</v>
      </c>
      <c r="D5" t="s">
        <v>27</v>
      </c>
      <c r="E5" t="s">
        <v>23</v>
      </c>
      <c r="F5" t="s">
        <v>28</v>
      </c>
      <c r="G5">
        <v>1</v>
      </c>
      <c r="H5">
        <v>0</v>
      </c>
      <c r="I5">
        <v>1</v>
      </c>
      <c r="J5">
        <v>1</v>
      </c>
      <c r="K5">
        <v>1</v>
      </c>
      <c r="L5">
        <f t="shared" si="0"/>
        <v>1</v>
      </c>
    </row>
    <row r="6" s="13" customFormat="1" ht="124.2" spans="1:12">
      <c r="A6" s="23" t="s">
        <v>29</v>
      </c>
      <c r="B6" s="24" t="s">
        <v>30</v>
      </c>
      <c r="C6" s="8" t="s">
        <v>31</v>
      </c>
      <c r="D6" s="13" t="s">
        <v>31</v>
      </c>
      <c r="E6" s="13" t="s">
        <v>23</v>
      </c>
      <c r="F6" s="13" t="s">
        <v>32</v>
      </c>
      <c r="G6" s="13">
        <v>1</v>
      </c>
      <c r="H6" s="13">
        <v>0</v>
      </c>
      <c r="I6" s="13">
        <v>1</v>
      </c>
      <c r="J6" s="13">
        <v>1</v>
      </c>
      <c r="K6" s="13">
        <v>1</v>
      </c>
      <c r="L6" s="13">
        <f t="shared" si="0"/>
        <v>1</v>
      </c>
    </row>
    <row r="7" ht="124.2" spans="1:12">
      <c r="A7" s="3" t="s">
        <v>33</v>
      </c>
      <c r="B7" s="6" t="s">
        <v>34</v>
      </c>
      <c r="C7" s="19" t="s">
        <v>35</v>
      </c>
      <c r="D7" t="s">
        <v>35</v>
      </c>
      <c r="E7" t="s">
        <v>36</v>
      </c>
      <c r="F7" t="s">
        <v>37</v>
      </c>
      <c r="G7">
        <v>1</v>
      </c>
      <c r="H7">
        <v>0</v>
      </c>
      <c r="I7">
        <v>1</v>
      </c>
      <c r="J7">
        <v>1</v>
      </c>
      <c r="K7">
        <v>1</v>
      </c>
      <c r="L7">
        <f t="shared" si="0"/>
        <v>1</v>
      </c>
    </row>
    <row r="8" s="13" customFormat="1" ht="110.4" spans="1:12">
      <c r="A8" s="23" t="s">
        <v>38</v>
      </c>
      <c r="B8" s="24" t="s">
        <v>39</v>
      </c>
      <c r="C8" s="8" t="s">
        <v>40</v>
      </c>
      <c r="D8" s="13" t="s">
        <v>41</v>
      </c>
      <c r="E8" s="13" t="s">
        <v>42</v>
      </c>
      <c r="F8" s="13" t="s">
        <v>43</v>
      </c>
      <c r="G8" s="13">
        <v>0</v>
      </c>
      <c r="H8" s="13">
        <v>1</v>
      </c>
      <c r="I8" s="13">
        <v>0</v>
      </c>
      <c r="J8" s="13">
        <v>0</v>
      </c>
      <c r="K8" s="13">
        <v>0</v>
      </c>
      <c r="L8" s="13">
        <v>0</v>
      </c>
    </row>
    <row r="9" s="13" customFormat="1" ht="82.8" spans="1:12">
      <c r="A9" s="23" t="s">
        <v>44</v>
      </c>
      <c r="B9" s="24" t="s">
        <v>45</v>
      </c>
      <c r="C9" s="8" t="s">
        <v>46</v>
      </c>
      <c r="D9" s="13" t="s">
        <v>46</v>
      </c>
      <c r="E9" s="13" t="s">
        <v>42</v>
      </c>
      <c r="F9" s="13" t="s">
        <v>47</v>
      </c>
      <c r="G9" s="13">
        <v>1</v>
      </c>
      <c r="H9" s="13">
        <v>0</v>
      </c>
      <c r="I9" s="13">
        <v>1</v>
      </c>
      <c r="J9" s="13">
        <v>1</v>
      </c>
      <c r="K9" s="13">
        <v>1</v>
      </c>
      <c r="L9" s="13">
        <f t="shared" si="0"/>
        <v>1</v>
      </c>
    </row>
    <row r="10" ht="221.4" spans="1:12">
      <c r="A10" s="3" t="s">
        <v>48</v>
      </c>
      <c r="B10" s="6" t="s">
        <v>49</v>
      </c>
      <c r="C10" s="19" t="s">
        <v>50</v>
      </c>
      <c r="D10" t="s">
        <v>50</v>
      </c>
      <c r="E10" t="s">
        <v>51</v>
      </c>
      <c r="F10" s="6" t="s">
        <v>52</v>
      </c>
      <c r="G10">
        <v>1</v>
      </c>
      <c r="H10">
        <v>0</v>
      </c>
      <c r="I10">
        <v>1</v>
      </c>
      <c r="J10">
        <v>1</v>
      </c>
      <c r="K10">
        <v>1</v>
      </c>
      <c r="L10">
        <f t="shared" si="0"/>
        <v>1</v>
      </c>
    </row>
    <row r="11" s="13" customFormat="1" ht="409.5" spans="1:12">
      <c r="A11" s="23" t="s">
        <v>53</v>
      </c>
      <c r="B11" s="24" t="s">
        <v>54</v>
      </c>
      <c r="C11" s="8" t="s">
        <v>55</v>
      </c>
      <c r="D11" s="13" t="s">
        <v>55</v>
      </c>
      <c r="E11" s="13" t="s">
        <v>51</v>
      </c>
      <c r="F11" s="24" t="s">
        <v>56</v>
      </c>
      <c r="G11" s="13">
        <v>1</v>
      </c>
      <c r="H11" s="13">
        <v>0</v>
      </c>
      <c r="I11" s="13">
        <v>1</v>
      </c>
      <c r="J11" s="13">
        <v>1</v>
      </c>
      <c r="K11" s="13">
        <v>1</v>
      </c>
      <c r="L11" s="13">
        <f t="shared" si="0"/>
        <v>1</v>
      </c>
    </row>
    <row r="12" ht="409.5" spans="1:12">
      <c r="A12" s="3" t="s">
        <v>57</v>
      </c>
      <c r="B12" s="5" t="s">
        <v>58</v>
      </c>
      <c r="C12" s="19" t="s">
        <v>59</v>
      </c>
      <c r="D12" t="s">
        <v>59</v>
      </c>
      <c r="E12" t="s">
        <v>51</v>
      </c>
      <c r="F12" s="6" t="s">
        <v>56</v>
      </c>
      <c r="G12">
        <v>1</v>
      </c>
      <c r="H12">
        <v>0</v>
      </c>
      <c r="I12">
        <v>1</v>
      </c>
      <c r="J12">
        <v>1</v>
      </c>
      <c r="K12">
        <v>1</v>
      </c>
      <c r="L12">
        <f t="shared" si="0"/>
        <v>1</v>
      </c>
    </row>
    <row r="13" ht="165.6" spans="1:12">
      <c r="A13" s="3" t="s">
        <v>60</v>
      </c>
      <c r="B13" s="6" t="s">
        <v>61</v>
      </c>
      <c r="C13" s="19">
        <v>5.4</v>
      </c>
      <c r="D13">
        <v>5.4</v>
      </c>
      <c r="E13" t="s">
        <v>62</v>
      </c>
      <c r="F13" t="s">
        <v>63</v>
      </c>
      <c r="G13">
        <v>1</v>
      </c>
      <c r="H13">
        <v>0</v>
      </c>
      <c r="I13">
        <v>1</v>
      </c>
      <c r="J13">
        <v>1</v>
      </c>
      <c r="K13">
        <v>1</v>
      </c>
      <c r="L13">
        <f t="shared" si="0"/>
        <v>1</v>
      </c>
    </row>
    <row r="14" ht="138" spans="1:12">
      <c r="A14" s="3" t="s">
        <v>64</v>
      </c>
      <c r="B14" s="6" t="s">
        <v>65</v>
      </c>
      <c r="C14" s="19" t="s">
        <v>66</v>
      </c>
      <c r="D14" t="s">
        <v>66</v>
      </c>
      <c r="E14" t="s">
        <v>62</v>
      </c>
      <c r="F14" t="s">
        <v>63</v>
      </c>
      <c r="G14">
        <v>1</v>
      </c>
      <c r="H14">
        <v>0</v>
      </c>
      <c r="I14">
        <v>1</v>
      </c>
      <c r="J14">
        <v>1</v>
      </c>
      <c r="K14">
        <v>1</v>
      </c>
      <c r="L14">
        <f>ROUND(2*J14*K14/(J14+K14),2)</f>
        <v>1</v>
      </c>
    </row>
    <row r="15" s="13" customFormat="1" ht="289.8" spans="1:12">
      <c r="A15" s="23" t="s">
        <v>67</v>
      </c>
      <c r="B15" s="24" t="s">
        <v>68</v>
      </c>
      <c r="C15" s="8" t="s">
        <v>69</v>
      </c>
      <c r="D15" s="13" t="s">
        <v>70</v>
      </c>
      <c r="E15" s="13" t="s">
        <v>71</v>
      </c>
      <c r="F15" s="24" t="s">
        <v>72</v>
      </c>
      <c r="G15" s="13">
        <v>0</v>
      </c>
      <c r="H15" s="13">
        <v>0.5</v>
      </c>
      <c r="I15" s="13">
        <v>0.5</v>
      </c>
      <c r="J15" s="13">
        <v>0.5</v>
      </c>
      <c r="K15" s="13">
        <v>0.5</v>
      </c>
      <c r="L15" s="13">
        <v>0.5</v>
      </c>
    </row>
    <row r="16" s="13" customFormat="1" ht="220.8" spans="1:12">
      <c r="A16" s="23" t="s">
        <v>73</v>
      </c>
      <c r="B16" s="24" t="s">
        <v>74</v>
      </c>
      <c r="C16" s="8" t="s">
        <v>75</v>
      </c>
      <c r="D16" s="13" t="s">
        <v>75</v>
      </c>
      <c r="E16" s="13" t="s">
        <v>76</v>
      </c>
      <c r="F16" s="13" t="s">
        <v>77</v>
      </c>
      <c r="G16" s="13">
        <v>0</v>
      </c>
      <c r="H16" s="13">
        <v>0</v>
      </c>
      <c r="I16" s="13">
        <v>1</v>
      </c>
      <c r="J16" s="13">
        <v>1</v>
      </c>
      <c r="K16" s="13">
        <v>1</v>
      </c>
      <c r="L16" s="13">
        <v>1</v>
      </c>
    </row>
    <row r="17" s="13" customFormat="1" ht="409.5" spans="1:12">
      <c r="A17" s="23" t="s">
        <v>78</v>
      </c>
      <c r="B17" s="24" t="s">
        <v>79</v>
      </c>
      <c r="C17" s="8" t="s">
        <v>80</v>
      </c>
      <c r="D17" s="13" t="s">
        <v>81</v>
      </c>
      <c r="E17" s="13" t="s">
        <v>82</v>
      </c>
      <c r="F17" s="24" t="s">
        <v>83</v>
      </c>
      <c r="G17" s="13">
        <v>0</v>
      </c>
      <c r="H17" s="13">
        <v>0</v>
      </c>
      <c r="I17" s="13">
        <v>1</v>
      </c>
      <c r="J17" s="13">
        <v>1</v>
      </c>
      <c r="K17" s="13">
        <v>1</v>
      </c>
      <c r="L17" s="13">
        <v>1</v>
      </c>
    </row>
    <row r="18" s="13" customFormat="1" ht="409.5" spans="1:12">
      <c r="A18" s="23" t="s">
        <v>84</v>
      </c>
      <c r="B18" s="24" t="s">
        <v>85</v>
      </c>
      <c r="C18" s="8" t="s">
        <v>86</v>
      </c>
      <c r="D18" s="13" t="s">
        <v>87</v>
      </c>
      <c r="E18" s="13" t="s">
        <v>36</v>
      </c>
      <c r="F18" s="24" t="s">
        <v>88</v>
      </c>
      <c r="G18" s="13">
        <v>0</v>
      </c>
      <c r="J18" s="13">
        <v>0</v>
      </c>
      <c r="K18" s="13">
        <v>0</v>
      </c>
      <c r="L18" s="13">
        <v>0</v>
      </c>
    </row>
    <row r="19" ht="304.2" spans="1:12">
      <c r="A19" s="3" t="s">
        <v>89</v>
      </c>
      <c r="B19" s="6" t="s">
        <v>90</v>
      </c>
      <c r="C19" s="19" t="s">
        <v>91</v>
      </c>
      <c r="D19" t="s">
        <v>91</v>
      </c>
      <c r="E19" t="s">
        <v>92</v>
      </c>
      <c r="F19" s="6" t="s">
        <v>93</v>
      </c>
      <c r="G19">
        <v>0</v>
      </c>
      <c r="J19">
        <v>0</v>
      </c>
      <c r="K19">
        <v>0</v>
      </c>
      <c r="L19">
        <v>0</v>
      </c>
    </row>
    <row r="20" ht="409.5" spans="1:12">
      <c r="A20" s="3" t="s">
        <v>94</v>
      </c>
      <c r="B20" s="6" t="s">
        <v>95</v>
      </c>
      <c r="C20" s="17">
        <v>6</v>
      </c>
      <c r="D20">
        <v>6</v>
      </c>
      <c r="E20" t="s">
        <v>96</v>
      </c>
      <c r="F20" s="6" t="s">
        <v>97</v>
      </c>
      <c r="G20">
        <v>1</v>
      </c>
      <c r="H20">
        <v>0</v>
      </c>
      <c r="I20">
        <v>1</v>
      </c>
      <c r="J20">
        <v>1</v>
      </c>
      <c r="K20">
        <v>1</v>
      </c>
      <c r="L20">
        <f t="shared" si="0"/>
        <v>1</v>
      </c>
    </row>
    <row r="21" s="13" customFormat="1" ht="110.4" spans="1:12">
      <c r="A21" s="23" t="s">
        <v>98</v>
      </c>
      <c r="B21" s="24" t="s">
        <v>99</v>
      </c>
      <c r="C21" s="8" t="s">
        <v>100</v>
      </c>
      <c r="D21" s="13" t="s">
        <v>100</v>
      </c>
      <c r="E21" s="13" t="s">
        <v>101</v>
      </c>
      <c r="F21" s="13" t="s">
        <v>102</v>
      </c>
      <c r="G21" s="13">
        <v>1</v>
      </c>
      <c r="H21" s="13">
        <v>0</v>
      </c>
      <c r="I21" s="13">
        <v>1</v>
      </c>
      <c r="J21" s="13">
        <v>1</v>
      </c>
      <c r="K21" s="13">
        <v>1</v>
      </c>
      <c r="L21" s="13">
        <f t="shared" si="0"/>
        <v>1</v>
      </c>
    </row>
    <row r="22" ht="289.8" spans="1:12">
      <c r="A22" s="3" t="s">
        <v>103</v>
      </c>
      <c r="B22" s="6" t="s">
        <v>104</v>
      </c>
      <c r="C22" s="19" t="s">
        <v>105</v>
      </c>
      <c r="D22" t="s">
        <v>106</v>
      </c>
      <c r="E22" t="s">
        <v>101</v>
      </c>
      <c r="F22" s="6" t="s">
        <v>107</v>
      </c>
      <c r="G22">
        <v>0</v>
      </c>
      <c r="H22">
        <v>0.4</v>
      </c>
      <c r="I22">
        <v>0.6</v>
      </c>
      <c r="J22">
        <v>0.6</v>
      </c>
      <c r="K22">
        <v>1</v>
      </c>
      <c r="L22">
        <f t="shared" si="0"/>
        <v>0.75</v>
      </c>
    </row>
    <row r="23" ht="276" spans="1:12">
      <c r="A23" s="3" t="s">
        <v>108</v>
      </c>
      <c r="B23" s="6" t="s">
        <v>109</v>
      </c>
      <c r="C23" s="19" t="s">
        <v>110</v>
      </c>
      <c r="D23" t="s">
        <v>110</v>
      </c>
      <c r="E23" t="s">
        <v>111</v>
      </c>
      <c r="F23" s="6" t="s">
        <v>112</v>
      </c>
      <c r="G23">
        <v>1</v>
      </c>
      <c r="H23">
        <v>0</v>
      </c>
      <c r="I23">
        <v>1</v>
      </c>
      <c r="J23">
        <v>1</v>
      </c>
      <c r="K23">
        <v>1</v>
      </c>
      <c r="L23">
        <f t="shared" si="0"/>
        <v>1</v>
      </c>
    </row>
    <row r="24" ht="72" customHeight="1" spans="1:12">
      <c r="A24" s="3" t="s">
        <v>113</v>
      </c>
      <c r="B24" s="6" t="s">
        <v>114</v>
      </c>
      <c r="C24" s="20">
        <v>0.6</v>
      </c>
      <c r="D24" s="25">
        <v>0.6</v>
      </c>
      <c r="E24" t="s">
        <v>111</v>
      </c>
      <c r="F24" s="6" t="s">
        <v>115</v>
      </c>
      <c r="G24">
        <v>1</v>
      </c>
      <c r="H24">
        <v>0</v>
      </c>
      <c r="I24">
        <v>1</v>
      </c>
      <c r="J24">
        <v>1</v>
      </c>
      <c r="K24">
        <v>1</v>
      </c>
      <c r="L24">
        <f t="shared" si="0"/>
        <v>1</v>
      </c>
    </row>
    <row r="25" s="13" customFormat="1" ht="123" customHeight="1" spans="1:12">
      <c r="A25" s="26" t="s">
        <v>116</v>
      </c>
      <c r="B25" s="27" t="s">
        <v>117</v>
      </c>
      <c r="C25" s="13" t="s">
        <v>118</v>
      </c>
      <c r="D25" s="24" t="s">
        <v>118</v>
      </c>
      <c r="E25" s="26" t="s">
        <v>119</v>
      </c>
      <c r="F25" s="24" t="s">
        <v>120</v>
      </c>
      <c r="G25" s="13">
        <v>1</v>
      </c>
      <c r="H25" s="13">
        <v>0</v>
      </c>
      <c r="I25" s="13">
        <v>1</v>
      </c>
      <c r="J25" s="13">
        <v>1</v>
      </c>
      <c r="K25" s="13">
        <v>1</v>
      </c>
      <c r="L25" s="13">
        <f t="shared" si="0"/>
        <v>1</v>
      </c>
    </row>
    <row r="26" ht="409.5" spans="1:12">
      <c r="A26" s="12" t="s">
        <v>121</v>
      </c>
      <c r="B26" s="15" t="s">
        <v>122</v>
      </c>
      <c r="C26" s="17" t="s">
        <v>123</v>
      </c>
      <c r="D26" t="s">
        <v>123</v>
      </c>
      <c r="E26" s="12" t="s">
        <v>124</v>
      </c>
      <c r="F26" s="6" t="s">
        <v>125</v>
      </c>
      <c r="G26">
        <v>1</v>
      </c>
      <c r="H26">
        <v>0</v>
      </c>
      <c r="I26">
        <v>1</v>
      </c>
      <c r="J26">
        <v>1</v>
      </c>
      <c r="K26">
        <v>1</v>
      </c>
      <c r="L26">
        <f t="shared" si="0"/>
        <v>1</v>
      </c>
    </row>
    <row r="27" ht="409.5" spans="1:12">
      <c r="A27" s="12" t="s">
        <v>126</v>
      </c>
      <c r="B27" s="15" t="s">
        <v>127</v>
      </c>
      <c r="C27" s="17" t="s">
        <v>128</v>
      </c>
      <c r="D27" t="s">
        <v>128</v>
      </c>
      <c r="E27" s="12" t="s">
        <v>101</v>
      </c>
      <c r="F27" s="6" t="s">
        <v>129</v>
      </c>
      <c r="G27">
        <v>1</v>
      </c>
      <c r="H27">
        <v>0</v>
      </c>
      <c r="I27">
        <v>1</v>
      </c>
      <c r="J27">
        <v>1</v>
      </c>
      <c r="K27">
        <v>1</v>
      </c>
      <c r="L27">
        <f t="shared" si="0"/>
        <v>1</v>
      </c>
    </row>
    <row r="28" s="13" customFormat="1" ht="193.8" spans="1:12">
      <c r="A28" s="26" t="s">
        <v>130</v>
      </c>
      <c r="B28" s="27" t="s">
        <v>131</v>
      </c>
      <c r="C28" s="13" t="s">
        <v>132</v>
      </c>
      <c r="D28" s="13" t="s">
        <v>87</v>
      </c>
      <c r="E28" s="26" t="s">
        <v>133</v>
      </c>
      <c r="F28" s="24" t="s">
        <v>134</v>
      </c>
      <c r="G28" s="13">
        <v>0</v>
      </c>
      <c r="H28" s="13"/>
      <c r="I28" s="13"/>
      <c r="J28" s="13">
        <v>0</v>
      </c>
      <c r="K28" s="13">
        <v>0</v>
      </c>
      <c r="L28" s="13">
        <v>0</v>
      </c>
    </row>
    <row r="29" s="13" customFormat="1" ht="96.6" spans="1:12">
      <c r="A29" s="26" t="s">
        <v>135</v>
      </c>
      <c r="B29" s="27" t="s">
        <v>136</v>
      </c>
      <c r="C29" s="13">
        <v>5</v>
      </c>
      <c r="D29" s="13">
        <v>5</v>
      </c>
      <c r="E29" s="26" t="s">
        <v>36</v>
      </c>
      <c r="F29" s="13" t="s">
        <v>137</v>
      </c>
      <c r="G29" s="13">
        <v>1</v>
      </c>
      <c r="H29" s="13">
        <v>0</v>
      </c>
      <c r="I29" s="13">
        <v>1</v>
      </c>
      <c r="J29" s="13">
        <v>1</v>
      </c>
      <c r="K29" s="13">
        <v>1</v>
      </c>
      <c r="L29" s="13">
        <f t="shared" si="0"/>
        <v>1</v>
      </c>
    </row>
    <row r="30" s="13" customFormat="1" ht="400.2" spans="1:12">
      <c r="A30" s="27" t="s">
        <v>138</v>
      </c>
      <c r="B30" s="27" t="s">
        <v>139</v>
      </c>
      <c r="C30" s="16" t="s">
        <v>140</v>
      </c>
      <c r="D30" s="13" t="s">
        <v>140</v>
      </c>
      <c r="E30" s="13" t="s">
        <v>141</v>
      </c>
      <c r="F30" s="24" t="s">
        <v>142</v>
      </c>
      <c r="G30" s="13">
        <v>1</v>
      </c>
      <c r="H30" s="13">
        <v>0</v>
      </c>
      <c r="I30" s="13">
        <v>1</v>
      </c>
      <c r="J30" s="13">
        <v>1</v>
      </c>
      <c r="K30" s="13">
        <v>1</v>
      </c>
      <c r="L30" s="13">
        <f t="shared" si="0"/>
        <v>1</v>
      </c>
    </row>
    <row r="31" ht="409.5" spans="1:12">
      <c r="A31" s="3" t="s">
        <v>143</v>
      </c>
      <c r="B31" s="6" t="s">
        <v>144</v>
      </c>
      <c r="C31" s="19" t="s">
        <v>145</v>
      </c>
      <c r="D31" t="s">
        <v>145</v>
      </c>
      <c r="E31" s="4" t="s">
        <v>146</v>
      </c>
      <c r="F31" s="5" t="s">
        <v>147</v>
      </c>
      <c r="G31">
        <v>1</v>
      </c>
      <c r="H31">
        <v>0</v>
      </c>
      <c r="I31">
        <v>1</v>
      </c>
      <c r="J31">
        <v>1</v>
      </c>
      <c r="K31">
        <v>1</v>
      </c>
      <c r="L31">
        <f>ROUND(2*J31*K31/(J31+K31),2)</f>
        <v>1</v>
      </c>
    </row>
    <row r="32" spans="7:12">
      <c r="G32">
        <f>ROUND(AVERAGE(G2:G31),2)</f>
        <v>0.73</v>
      </c>
      <c r="H32">
        <f>ROUND(AVERAGE(H2:H31),2)</f>
        <v>0.07</v>
      </c>
      <c r="I32">
        <f>ROUND(AVERAGE(I2:I31),2)</f>
        <v>0.93</v>
      </c>
      <c r="J32">
        <f>ROUND(AVERAGE(J2:J31),2)</f>
        <v>0.84</v>
      </c>
      <c r="K32">
        <f>ROUND(AVERAGE(K2:K31),2)</f>
        <v>0.85</v>
      </c>
      <c r="L32">
        <f>ROUND(AVERAGE(L2:L31),2)</f>
        <v>0.84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zoomScale="70" zoomScaleNormal="70" workbookViewId="0">
      <pane ySplit="1" topLeftCell="A2" activePane="bottomLeft" state="frozen"/>
      <selection/>
      <selection pane="bottomLeft" activeCell="B1" sqref="B$1:B$1048576"/>
    </sheetView>
  </sheetViews>
  <sheetFormatPr defaultColWidth="8.88888888888889" defaultRowHeight="13.8"/>
  <cols>
    <col min="1" max="1" width="76.5555555555556" customWidth="1"/>
    <col min="2" max="2" width="33.1111111111111" style="17" customWidth="1"/>
    <col min="3" max="3" width="9"/>
    <col min="4" max="4" width="24.6666666666667" customWidth="1"/>
    <col min="5" max="5" width="9"/>
    <col min="6" max="6" width="12.8888888888889"/>
    <col min="7" max="7" width="9"/>
    <col min="8" max="9" width="12.8888888888889"/>
    <col min="10" max="10" width="9"/>
  </cols>
  <sheetData>
    <row r="1" ht="27.6" spans="1:10">
      <c r="A1" s="1" t="s">
        <v>0</v>
      </c>
      <c r="B1" s="18" t="s">
        <v>2</v>
      </c>
      <c r="C1" s="1" t="s">
        <v>148</v>
      </c>
      <c r="D1" s="1" t="s">
        <v>149</v>
      </c>
      <c r="E1" s="2" t="s">
        <v>6</v>
      </c>
      <c r="F1" s="2" t="s">
        <v>7</v>
      </c>
      <c r="G1" s="2" t="s">
        <v>8</v>
      </c>
      <c r="H1" s="2" t="s">
        <v>9</v>
      </c>
      <c r="I1" s="2" t="s">
        <v>10</v>
      </c>
      <c r="J1" s="2" t="s">
        <v>11</v>
      </c>
    </row>
    <row r="2" ht="409.5" spans="1:10">
      <c r="A2" s="3" t="s">
        <v>12</v>
      </c>
      <c r="B2" s="19" t="s">
        <v>14</v>
      </c>
      <c r="C2" s="5" t="s">
        <v>150</v>
      </c>
      <c r="D2" s="3" t="s">
        <v>87</v>
      </c>
      <c r="E2">
        <v>0</v>
      </c>
      <c r="H2">
        <v>0</v>
      </c>
      <c r="I2">
        <v>0</v>
      </c>
      <c r="J2" t="e">
        <f t="shared" ref="J2:J13" si="0">ROUND(2*H2*I2/(H2+I2),2)</f>
        <v>#DIV/0!</v>
      </c>
    </row>
    <row r="3" ht="409.5" spans="1:10">
      <c r="A3" s="3" t="s">
        <v>17</v>
      </c>
      <c r="B3" s="19">
        <v>3.5</v>
      </c>
      <c r="C3" s="5" t="s">
        <v>151</v>
      </c>
      <c r="D3" s="3" t="s">
        <v>87</v>
      </c>
      <c r="E3">
        <v>0</v>
      </c>
      <c r="H3">
        <v>0</v>
      </c>
      <c r="I3">
        <v>0</v>
      </c>
      <c r="J3" t="e">
        <f t="shared" si="0"/>
        <v>#DIV/0!</v>
      </c>
    </row>
    <row r="4" ht="409.5" spans="1:10">
      <c r="A4" s="3" t="s">
        <v>20</v>
      </c>
      <c r="B4" s="19" t="s">
        <v>22</v>
      </c>
      <c r="C4" s="5" t="s">
        <v>152</v>
      </c>
      <c r="D4" s="3" t="s">
        <v>87</v>
      </c>
      <c r="E4">
        <v>0</v>
      </c>
      <c r="H4">
        <v>0</v>
      </c>
      <c r="I4">
        <v>0</v>
      </c>
      <c r="J4" t="e">
        <f t="shared" si="0"/>
        <v>#DIV/0!</v>
      </c>
    </row>
    <row r="5" ht="409.5" spans="1:10">
      <c r="A5" s="3" t="s">
        <v>25</v>
      </c>
      <c r="B5" s="19" t="s">
        <v>27</v>
      </c>
      <c r="C5" s="5" t="s">
        <v>153</v>
      </c>
      <c r="D5" s="4" t="s">
        <v>87</v>
      </c>
      <c r="E5">
        <v>0</v>
      </c>
      <c r="H5">
        <v>0.5</v>
      </c>
      <c r="I5">
        <v>0.5</v>
      </c>
      <c r="J5">
        <f t="shared" si="0"/>
        <v>0.5</v>
      </c>
    </row>
    <row r="6" ht="409.5" spans="1:10">
      <c r="A6" s="3" t="s">
        <v>154</v>
      </c>
      <c r="B6" s="8" t="s">
        <v>31</v>
      </c>
      <c r="C6" s="5" t="s">
        <v>155</v>
      </c>
      <c r="D6" t="s">
        <v>87</v>
      </c>
      <c r="E6">
        <v>0</v>
      </c>
      <c r="H6">
        <v>0</v>
      </c>
      <c r="I6">
        <v>0</v>
      </c>
      <c r="J6" t="e">
        <f t="shared" si="0"/>
        <v>#DIV/0!</v>
      </c>
    </row>
    <row r="7" ht="409.5" spans="1:10">
      <c r="A7" s="3" t="s">
        <v>33</v>
      </c>
      <c r="B7" s="19" t="s">
        <v>35</v>
      </c>
      <c r="C7" s="5" t="s">
        <v>156</v>
      </c>
      <c r="D7" t="s">
        <v>87</v>
      </c>
      <c r="E7">
        <v>0</v>
      </c>
      <c r="H7">
        <v>0</v>
      </c>
      <c r="I7">
        <v>0</v>
      </c>
      <c r="J7" t="e">
        <f t="shared" si="0"/>
        <v>#DIV/0!</v>
      </c>
    </row>
    <row r="8" ht="409.5" spans="1:10">
      <c r="A8" s="3" t="s">
        <v>38</v>
      </c>
      <c r="B8" s="8" t="s">
        <v>40</v>
      </c>
      <c r="C8" s="5" t="s">
        <v>157</v>
      </c>
      <c r="D8" t="s">
        <v>87</v>
      </c>
      <c r="E8">
        <v>0</v>
      </c>
      <c r="H8">
        <v>0</v>
      </c>
      <c r="I8">
        <v>0</v>
      </c>
      <c r="J8" t="e">
        <f t="shared" si="0"/>
        <v>#DIV/0!</v>
      </c>
    </row>
    <row r="9" ht="409.5" spans="1:10">
      <c r="A9" s="3" t="s">
        <v>44</v>
      </c>
      <c r="B9" s="8" t="s">
        <v>46</v>
      </c>
      <c r="C9" s="5" t="s">
        <v>158</v>
      </c>
      <c r="D9" t="s">
        <v>87</v>
      </c>
      <c r="E9">
        <v>0</v>
      </c>
      <c r="H9">
        <v>0</v>
      </c>
      <c r="I9">
        <v>0</v>
      </c>
      <c r="J9" t="e">
        <f t="shared" si="0"/>
        <v>#DIV/0!</v>
      </c>
    </row>
    <row r="10" ht="409.5" spans="1:10">
      <c r="A10" s="3" t="s">
        <v>48</v>
      </c>
      <c r="B10" s="19" t="s">
        <v>50</v>
      </c>
      <c r="C10" s="5" t="s">
        <v>159</v>
      </c>
      <c r="D10" t="s">
        <v>87</v>
      </c>
      <c r="E10">
        <v>0</v>
      </c>
      <c r="H10">
        <v>0</v>
      </c>
      <c r="I10">
        <v>0</v>
      </c>
      <c r="J10" t="e">
        <f t="shared" si="0"/>
        <v>#DIV/0!</v>
      </c>
    </row>
    <row r="11" ht="409.5" spans="1:10">
      <c r="A11" s="3" t="s">
        <v>53</v>
      </c>
      <c r="B11" s="8" t="s">
        <v>55</v>
      </c>
      <c r="C11" s="5" t="s">
        <v>160</v>
      </c>
      <c r="D11" t="s">
        <v>87</v>
      </c>
      <c r="E11">
        <v>0</v>
      </c>
      <c r="H11">
        <v>0</v>
      </c>
      <c r="I11">
        <v>0</v>
      </c>
      <c r="J11" t="e">
        <f t="shared" si="0"/>
        <v>#DIV/0!</v>
      </c>
    </row>
    <row r="12" ht="409.5" spans="1:10">
      <c r="A12" s="3" t="s">
        <v>57</v>
      </c>
      <c r="B12" s="19" t="s">
        <v>59</v>
      </c>
      <c r="C12" s="5" t="s">
        <v>161</v>
      </c>
      <c r="D12" t="s">
        <v>87</v>
      </c>
      <c r="E12">
        <v>0</v>
      </c>
      <c r="H12">
        <v>0</v>
      </c>
      <c r="I12">
        <v>0</v>
      </c>
      <c r="J12" t="e">
        <f t="shared" si="0"/>
        <v>#DIV/0!</v>
      </c>
    </row>
    <row r="13" ht="409.5" spans="1:10">
      <c r="A13" s="3" t="s">
        <v>60</v>
      </c>
      <c r="B13" s="19">
        <v>5.4</v>
      </c>
      <c r="C13" s="5" t="s">
        <v>162</v>
      </c>
      <c r="D13" t="s">
        <v>163</v>
      </c>
      <c r="E13">
        <v>0</v>
      </c>
      <c r="F13">
        <v>0</v>
      </c>
      <c r="G13">
        <f>1-F13</f>
        <v>1</v>
      </c>
      <c r="H13">
        <v>1</v>
      </c>
      <c r="I13">
        <v>1</v>
      </c>
      <c r="J13">
        <f t="shared" si="0"/>
        <v>1</v>
      </c>
    </row>
    <row r="14" ht="409.5" spans="1:10">
      <c r="A14" s="3" t="s">
        <v>64</v>
      </c>
      <c r="B14" s="19" t="s">
        <v>66</v>
      </c>
      <c r="C14" s="5" t="s">
        <v>164</v>
      </c>
      <c r="D14" s="3" t="s">
        <v>165</v>
      </c>
      <c r="E14">
        <v>0</v>
      </c>
      <c r="F14">
        <v>1</v>
      </c>
      <c r="G14">
        <f>1-F14</f>
        <v>0</v>
      </c>
      <c r="H14">
        <v>0</v>
      </c>
      <c r="I14">
        <v>0</v>
      </c>
      <c r="J14">
        <v>0</v>
      </c>
    </row>
    <row r="15" ht="409.5" spans="1:10">
      <c r="A15" s="3" t="s">
        <v>67</v>
      </c>
      <c r="B15" s="8" t="s">
        <v>69</v>
      </c>
      <c r="C15" s="5" t="s">
        <v>166</v>
      </c>
      <c r="D15" s="3" t="s">
        <v>167</v>
      </c>
      <c r="E15">
        <v>0</v>
      </c>
      <c r="F15">
        <v>0</v>
      </c>
      <c r="G15">
        <f>1-F15</f>
        <v>1</v>
      </c>
      <c r="H15">
        <v>1</v>
      </c>
      <c r="I15">
        <v>1</v>
      </c>
      <c r="J15">
        <f t="shared" ref="J15:J17" si="1">ROUND(2*H15*I15/(H15+I15),2)</f>
        <v>1</v>
      </c>
    </row>
    <row r="16" ht="409.5" spans="1:10">
      <c r="A16" s="3" t="s">
        <v>73</v>
      </c>
      <c r="B16" s="8" t="s">
        <v>75</v>
      </c>
      <c r="C16" s="5" t="s">
        <v>168</v>
      </c>
      <c r="D16" t="s">
        <v>169</v>
      </c>
      <c r="E16">
        <v>0</v>
      </c>
      <c r="F16">
        <v>0</v>
      </c>
      <c r="G16">
        <f>1-F16</f>
        <v>1</v>
      </c>
      <c r="H16">
        <v>0.5</v>
      </c>
      <c r="I16">
        <v>1</v>
      </c>
      <c r="J16">
        <f t="shared" si="1"/>
        <v>0.67</v>
      </c>
    </row>
    <row r="17" ht="409.5" spans="1:10">
      <c r="A17" s="3" t="s">
        <v>78</v>
      </c>
      <c r="B17" s="8" t="s">
        <v>80</v>
      </c>
      <c r="C17" s="5" t="s">
        <v>170</v>
      </c>
      <c r="D17" t="s">
        <v>171</v>
      </c>
      <c r="E17">
        <v>0</v>
      </c>
      <c r="F17">
        <v>0</v>
      </c>
      <c r="G17">
        <f>1-F17</f>
        <v>1</v>
      </c>
      <c r="H17">
        <v>1</v>
      </c>
      <c r="I17">
        <v>1</v>
      </c>
      <c r="J17">
        <f t="shared" si="1"/>
        <v>1</v>
      </c>
    </row>
    <row r="18" ht="409.5" spans="1:10">
      <c r="A18" s="3" t="s">
        <v>84</v>
      </c>
      <c r="B18" s="8" t="s">
        <v>86</v>
      </c>
      <c r="C18" s="5" t="s">
        <v>172</v>
      </c>
      <c r="D18" s="3" t="s">
        <v>87</v>
      </c>
      <c r="E18">
        <v>0</v>
      </c>
      <c r="H18">
        <v>0</v>
      </c>
      <c r="I18">
        <v>0</v>
      </c>
      <c r="J18">
        <v>0</v>
      </c>
    </row>
    <row r="19" ht="409.5" spans="1:10">
      <c r="A19" s="3" t="s">
        <v>89</v>
      </c>
      <c r="B19" s="19" t="s">
        <v>91</v>
      </c>
      <c r="C19" s="5" t="s">
        <v>173</v>
      </c>
      <c r="D19" s="3" t="s">
        <v>87</v>
      </c>
      <c r="E19">
        <v>0</v>
      </c>
      <c r="H19">
        <v>0</v>
      </c>
      <c r="I19">
        <v>0</v>
      </c>
      <c r="J19">
        <v>0</v>
      </c>
    </row>
    <row r="20" ht="409.5" spans="1:10">
      <c r="A20" s="3" t="s">
        <v>94</v>
      </c>
      <c r="B20" s="17">
        <v>6</v>
      </c>
      <c r="C20" s="5" t="s">
        <v>174</v>
      </c>
      <c r="D20">
        <v>5</v>
      </c>
      <c r="E20">
        <v>0</v>
      </c>
      <c r="F20">
        <v>1</v>
      </c>
      <c r="G20">
        <f>1-F20</f>
        <v>0</v>
      </c>
      <c r="H20">
        <v>0</v>
      </c>
      <c r="I20">
        <v>0</v>
      </c>
      <c r="J20" t="e">
        <f t="shared" ref="J20:J31" si="2">ROUND(2*H20*I20/(H20+I20),2)</f>
        <v>#DIV/0!</v>
      </c>
    </row>
    <row r="21" ht="409.5" spans="1:10">
      <c r="A21" s="3" t="s">
        <v>98</v>
      </c>
      <c r="B21" s="8" t="s">
        <v>100</v>
      </c>
      <c r="C21" s="5" t="s">
        <v>175</v>
      </c>
      <c r="D21" s="3" t="s">
        <v>87</v>
      </c>
      <c r="E21">
        <v>0</v>
      </c>
      <c r="H21">
        <v>0</v>
      </c>
      <c r="I21">
        <v>0</v>
      </c>
      <c r="J21" t="e">
        <f t="shared" si="2"/>
        <v>#DIV/0!</v>
      </c>
    </row>
    <row r="22" ht="409.5" spans="1:10">
      <c r="A22" s="3" t="s">
        <v>103</v>
      </c>
      <c r="B22" s="19" t="s">
        <v>105</v>
      </c>
      <c r="C22" s="5" t="s">
        <v>176</v>
      </c>
      <c r="D22" s="3" t="s">
        <v>87</v>
      </c>
      <c r="E22">
        <v>1</v>
      </c>
      <c r="H22">
        <v>1</v>
      </c>
      <c r="I22">
        <v>1</v>
      </c>
      <c r="J22">
        <f t="shared" si="2"/>
        <v>1</v>
      </c>
    </row>
    <row r="23" ht="409.5" spans="1:10">
      <c r="A23" s="3" t="s">
        <v>177</v>
      </c>
      <c r="B23" s="19" t="s">
        <v>110</v>
      </c>
      <c r="C23" s="5" t="s">
        <v>178</v>
      </c>
      <c r="D23" s="3" t="s">
        <v>87</v>
      </c>
      <c r="E23">
        <v>0</v>
      </c>
      <c r="H23">
        <v>0</v>
      </c>
      <c r="I23">
        <v>0</v>
      </c>
      <c r="J23" t="e">
        <f t="shared" si="2"/>
        <v>#DIV/0!</v>
      </c>
    </row>
    <row r="24" ht="409.5" spans="1:10">
      <c r="A24" s="3" t="s">
        <v>113</v>
      </c>
      <c r="B24" s="20">
        <v>0.6</v>
      </c>
      <c r="C24" s="5" t="s">
        <v>179</v>
      </c>
      <c r="D24" s="3">
        <v>0.45</v>
      </c>
      <c r="E24">
        <v>0</v>
      </c>
      <c r="F24">
        <v>0</v>
      </c>
      <c r="G24">
        <f t="shared" ref="G24:G30" si="3">1-F24</f>
        <v>1</v>
      </c>
      <c r="H24">
        <v>0</v>
      </c>
      <c r="I24">
        <v>0</v>
      </c>
      <c r="J24" t="e">
        <f t="shared" si="2"/>
        <v>#DIV/0!</v>
      </c>
    </row>
    <row r="25" ht="409.5" spans="1:10">
      <c r="A25" s="12" t="s">
        <v>116</v>
      </c>
      <c r="B25" s="13" t="s">
        <v>118</v>
      </c>
      <c r="C25" s="5" t="s">
        <v>180</v>
      </c>
      <c r="D25" s="3" t="s">
        <v>181</v>
      </c>
      <c r="E25">
        <v>0</v>
      </c>
      <c r="F25">
        <v>0.727</v>
      </c>
      <c r="G25">
        <f t="shared" si="3"/>
        <v>0.273</v>
      </c>
      <c r="H25">
        <v>0.091</v>
      </c>
      <c r="I25">
        <v>0.125</v>
      </c>
      <c r="J25">
        <f t="shared" si="2"/>
        <v>0.11</v>
      </c>
    </row>
    <row r="26" ht="409.5" spans="1:10">
      <c r="A26" s="12" t="s">
        <v>121</v>
      </c>
      <c r="B26" s="17" t="s">
        <v>123</v>
      </c>
      <c r="C26" s="5" t="s">
        <v>182</v>
      </c>
      <c r="D26" s="3" t="s">
        <v>183</v>
      </c>
      <c r="E26">
        <v>0</v>
      </c>
      <c r="F26">
        <v>1</v>
      </c>
      <c r="G26">
        <f t="shared" si="3"/>
        <v>0</v>
      </c>
      <c r="H26">
        <v>0.5</v>
      </c>
      <c r="I26">
        <v>0.5</v>
      </c>
      <c r="J26">
        <f t="shared" si="2"/>
        <v>0.5</v>
      </c>
    </row>
    <row r="27" ht="409.5" spans="1:9">
      <c r="A27" s="12" t="s">
        <v>126</v>
      </c>
      <c r="B27" s="17" t="s">
        <v>128</v>
      </c>
      <c r="C27" s="5" t="s">
        <v>184</v>
      </c>
      <c r="D27">
        <v>9</v>
      </c>
      <c r="E27">
        <v>0</v>
      </c>
      <c r="F27">
        <v>1</v>
      </c>
      <c r="G27">
        <f t="shared" si="3"/>
        <v>0</v>
      </c>
      <c r="H27">
        <v>0</v>
      </c>
      <c r="I27">
        <v>0</v>
      </c>
    </row>
    <row r="28" ht="409.5" spans="1:9">
      <c r="A28" s="12" t="s">
        <v>130</v>
      </c>
      <c r="B28" s="13" t="s">
        <v>132</v>
      </c>
      <c r="C28" s="5" t="s">
        <v>185</v>
      </c>
      <c r="D28" s="3" t="s">
        <v>186</v>
      </c>
      <c r="E28">
        <v>0</v>
      </c>
      <c r="F28">
        <v>1</v>
      </c>
      <c r="G28">
        <f t="shared" si="3"/>
        <v>0</v>
      </c>
      <c r="H28">
        <v>0</v>
      </c>
      <c r="I28">
        <v>0</v>
      </c>
    </row>
    <row r="29" spans="1:9">
      <c r="A29" s="12" t="s">
        <v>187</v>
      </c>
      <c r="B29" s="13">
        <v>5</v>
      </c>
      <c r="C29" s="5">
        <v>5</v>
      </c>
      <c r="D29" s="3">
        <v>5.5</v>
      </c>
      <c r="E29">
        <v>0</v>
      </c>
      <c r="F29">
        <v>1</v>
      </c>
      <c r="G29">
        <f t="shared" si="3"/>
        <v>0</v>
      </c>
      <c r="H29">
        <v>0</v>
      </c>
      <c r="I29">
        <v>0</v>
      </c>
    </row>
    <row r="30" ht="408" customHeight="1" spans="1:9">
      <c r="A30" s="15" t="s">
        <v>138</v>
      </c>
      <c r="B30" s="16" t="s">
        <v>140</v>
      </c>
      <c r="C30" s="5" t="s">
        <v>188</v>
      </c>
      <c r="D30" s="3">
        <v>4.5</v>
      </c>
      <c r="E30">
        <v>0</v>
      </c>
      <c r="F30">
        <v>1</v>
      </c>
      <c r="G30">
        <f t="shared" si="3"/>
        <v>0</v>
      </c>
      <c r="H30">
        <v>0</v>
      </c>
      <c r="I30">
        <v>0</v>
      </c>
    </row>
    <row r="31" ht="409.5" spans="1:10">
      <c r="A31" s="3" t="s">
        <v>143</v>
      </c>
      <c r="B31" s="19" t="s">
        <v>145</v>
      </c>
      <c r="C31" s="5" t="s">
        <v>189</v>
      </c>
      <c r="D31" s="3" t="s">
        <v>87</v>
      </c>
      <c r="E31">
        <v>0</v>
      </c>
      <c r="H31">
        <v>0</v>
      </c>
      <c r="I31">
        <v>0</v>
      </c>
      <c r="J31">
        <v>0</v>
      </c>
    </row>
    <row r="32" spans="5:10">
      <c r="E32">
        <f>ROUND(AVERAGE(E2:E30),2)</f>
        <v>0.03</v>
      </c>
      <c r="F32">
        <f>ROUND(AVERAGE(F2:F30),2)</f>
        <v>0.59</v>
      </c>
      <c r="G32">
        <f>ROUND(AVERAGE(G2:G30),2)</f>
        <v>0.41</v>
      </c>
      <c r="H32">
        <f>ROUND(AVERAGE(H2:H30),2)</f>
        <v>0.19</v>
      </c>
      <c r="I32">
        <f>ROUND(AVERAGE(I2:I30),2)</f>
        <v>0.21</v>
      </c>
      <c r="J32">
        <f>ROUND(2*H32*I32/(H32+I32),2)</f>
        <v>0.2</v>
      </c>
    </row>
  </sheetData>
  <autoFilter xmlns:etc="http://www.wps.cn/officeDocument/2017/etCustomData" ref="D1:D32"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zoomScale="70" zoomScaleNormal="70" workbookViewId="0">
      <selection activeCell="B1" sqref="B$1:B$1048576"/>
    </sheetView>
  </sheetViews>
  <sheetFormatPr defaultColWidth="8.88888888888889" defaultRowHeight="13.8"/>
  <cols>
    <col min="1" max="1" width="76.5555555555556" customWidth="1"/>
    <col min="2" max="2" width="33.1111111111111" style="17" customWidth="1"/>
    <col min="3" max="6" width="9"/>
    <col min="7" max="8" width="12.8888888888889"/>
    <col min="9" max="9" width="9"/>
    <col min="10" max="10" width="12.8888888888889"/>
  </cols>
  <sheetData>
    <row r="1" ht="41.4" spans="1:10">
      <c r="A1" s="1" t="s">
        <v>0</v>
      </c>
      <c r="B1" s="18" t="s">
        <v>2</v>
      </c>
      <c r="C1" s="1" t="s">
        <v>190</v>
      </c>
      <c r="D1" s="1" t="s">
        <v>3</v>
      </c>
      <c r="E1" s="2" t="s">
        <v>6</v>
      </c>
      <c r="F1" s="2" t="s">
        <v>7</v>
      </c>
      <c r="G1" s="2" t="s">
        <v>8</v>
      </c>
      <c r="H1" s="2" t="s">
        <v>9</v>
      </c>
      <c r="I1" s="2" t="s">
        <v>10</v>
      </c>
      <c r="J1" s="2" t="s">
        <v>11</v>
      </c>
    </row>
    <row r="2" ht="15" spans="2:2">
      <c r="B2" s="19" t="s">
        <v>14</v>
      </c>
    </row>
    <row r="3" ht="409.5" spans="1:10">
      <c r="A3" s="3" t="s">
        <v>12</v>
      </c>
      <c r="B3" s="19">
        <v>3.5</v>
      </c>
      <c r="C3" s="5" t="s">
        <v>191</v>
      </c>
      <c r="D3" s="4" t="s">
        <v>14</v>
      </c>
      <c r="E3" s="7">
        <v>1</v>
      </c>
      <c r="F3" s="6">
        <v>0</v>
      </c>
      <c r="G3" s="6">
        <v>1</v>
      </c>
      <c r="H3" s="7">
        <v>1</v>
      </c>
      <c r="I3" s="7">
        <v>1</v>
      </c>
      <c r="J3" s="7">
        <v>1</v>
      </c>
    </row>
    <row r="4" ht="409.5" spans="1:10">
      <c r="A4" s="3" t="s">
        <v>17</v>
      </c>
      <c r="B4" s="19" t="s">
        <v>22</v>
      </c>
      <c r="C4" s="5" t="s">
        <v>192</v>
      </c>
      <c r="D4" s="4">
        <v>3.5</v>
      </c>
      <c r="E4" s="7">
        <v>1</v>
      </c>
      <c r="F4" s="6">
        <v>0</v>
      </c>
      <c r="G4" s="6">
        <v>1</v>
      </c>
      <c r="H4" s="7">
        <v>1</v>
      </c>
      <c r="I4" s="7">
        <v>1</v>
      </c>
      <c r="J4" s="7">
        <v>1</v>
      </c>
    </row>
    <row r="5" ht="409.5" spans="1:10">
      <c r="A5" s="3" t="s">
        <v>20</v>
      </c>
      <c r="B5" s="19" t="s">
        <v>27</v>
      </c>
      <c r="C5" s="5" t="s">
        <v>193</v>
      </c>
      <c r="D5" s="3" t="s">
        <v>194</v>
      </c>
      <c r="E5" s="6">
        <v>0</v>
      </c>
      <c r="F5" s="6">
        <v>0</v>
      </c>
      <c r="G5" s="6">
        <v>1</v>
      </c>
      <c r="H5" s="6">
        <v>0</v>
      </c>
      <c r="I5" s="6">
        <v>0</v>
      </c>
      <c r="J5" s="6">
        <v>0</v>
      </c>
    </row>
    <row r="6" ht="409.5" spans="1:10">
      <c r="A6" s="3" t="s">
        <v>25</v>
      </c>
      <c r="B6" s="8" t="s">
        <v>31</v>
      </c>
      <c r="C6" s="5" t="s">
        <v>195</v>
      </c>
      <c r="D6" s="4" t="s">
        <v>196</v>
      </c>
      <c r="E6" s="6">
        <v>0</v>
      </c>
      <c r="F6" s="6">
        <v>0</v>
      </c>
      <c r="G6" s="6">
        <v>0.5</v>
      </c>
      <c r="H6" s="6">
        <v>0</v>
      </c>
      <c r="I6" s="6">
        <v>0</v>
      </c>
      <c r="J6" s="6">
        <v>0</v>
      </c>
    </row>
    <row r="7" ht="409.5" spans="1:10">
      <c r="A7" s="3" t="s">
        <v>154</v>
      </c>
      <c r="B7" s="19" t="s">
        <v>35</v>
      </c>
      <c r="C7" s="5" t="s">
        <v>197</v>
      </c>
      <c r="D7" s="4" t="s">
        <v>198</v>
      </c>
      <c r="E7" s="6">
        <v>0</v>
      </c>
      <c r="F7" s="6">
        <v>0</v>
      </c>
      <c r="G7" s="6">
        <v>1</v>
      </c>
      <c r="H7" s="7">
        <v>0.67</v>
      </c>
      <c r="I7" s="7">
        <v>1</v>
      </c>
      <c r="J7" s="7">
        <v>0.8</v>
      </c>
    </row>
    <row r="8" ht="409.5" spans="1:10">
      <c r="A8" s="3" t="s">
        <v>33</v>
      </c>
      <c r="B8" s="8" t="s">
        <v>40</v>
      </c>
      <c r="C8" s="5" t="s">
        <v>199</v>
      </c>
      <c r="D8" s="4" t="s">
        <v>87</v>
      </c>
      <c r="E8" s="6">
        <v>0</v>
      </c>
      <c r="F8" s="6"/>
      <c r="G8" s="6"/>
      <c r="H8" s="6">
        <v>0</v>
      </c>
      <c r="I8" s="6">
        <v>0</v>
      </c>
      <c r="J8" s="6">
        <v>0</v>
      </c>
    </row>
    <row r="9" ht="409.5" spans="1:10">
      <c r="A9" s="3" t="s">
        <v>38</v>
      </c>
      <c r="B9" s="8" t="s">
        <v>46</v>
      </c>
      <c r="C9" s="5" t="s">
        <v>200</v>
      </c>
      <c r="D9" s="4" t="s">
        <v>201</v>
      </c>
      <c r="E9" s="6">
        <v>0</v>
      </c>
      <c r="F9" s="6">
        <v>1</v>
      </c>
      <c r="G9" s="6">
        <v>0</v>
      </c>
      <c r="H9" s="6">
        <v>0</v>
      </c>
      <c r="I9" s="6">
        <v>0</v>
      </c>
      <c r="J9" s="6">
        <v>0</v>
      </c>
    </row>
    <row r="10" ht="409.5" spans="1:10">
      <c r="A10" s="3" t="s">
        <v>44</v>
      </c>
      <c r="B10" s="19" t="s">
        <v>50</v>
      </c>
      <c r="C10" s="5" t="s">
        <v>202</v>
      </c>
      <c r="D10" s="4" t="s">
        <v>203</v>
      </c>
      <c r="E10" s="6">
        <v>0</v>
      </c>
      <c r="F10" s="6">
        <v>1</v>
      </c>
      <c r="G10" s="6">
        <v>0</v>
      </c>
      <c r="H10" s="6">
        <v>0</v>
      </c>
      <c r="I10" s="6">
        <v>0</v>
      </c>
      <c r="J10" s="6">
        <v>0</v>
      </c>
    </row>
    <row r="11" ht="409.5" spans="1:10">
      <c r="A11" s="3" t="s">
        <v>48</v>
      </c>
      <c r="B11" s="8" t="s">
        <v>55</v>
      </c>
      <c r="C11" s="5" t="s">
        <v>204</v>
      </c>
      <c r="D11" s="4" t="s">
        <v>50</v>
      </c>
      <c r="E11" s="7">
        <v>1</v>
      </c>
      <c r="F11" s="6">
        <v>0</v>
      </c>
      <c r="G11" s="6">
        <v>1</v>
      </c>
      <c r="H11" s="7">
        <v>1</v>
      </c>
      <c r="I11" s="7">
        <v>1</v>
      </c>
      <c r="J11" s="7">
        <v>1</v>
      </c>
    </row>
    <row r="12" ht="409.5" spans="1:10">
      <c r="A12" s="3" t="s">
        <v>53</v>
      </c>
      <c r="B12" s="19" t="s">
        <v>59</v>
      </c>
      <c r="C12" s="5" t="s">
        <v>205</v>
      </c>
      <c r="D12" s="4" t="s">
        <v>87</v>
      </c>
      <c r="E12" s="6">
        <v>0</v>
      </c>
      <c r="F12" s="6"/>
      <c r="G12" s="6"/>
      <c r="H12" s="6">
        <v>0</v>
      </c>
      <c r="I12" s="6">
        <v>0</v>
      </c>
      <c r="J12" s="6">
        <v>0</v>
      </c>
    </row>
    <row r="13" ht="409.5" spans="1:10">
      <c r="A13" s="3" t="s">
        <v>57</v>
      </c>
      <c r="B13" s="19">
        <v>5.4</v>
      </c>
      <c r="C13" s="5" t="s">
        <v>206</v>
      </c>
      <c r="D13" s="4" t="s">
        <v>87</v>
      </c>
      <c r="E13" s="6">
        <v>0</v>
      </c>
      <c r="F13" s="6"/>
      <c r="G13" s="6"/>
      <c r="H13" s="6">
        <v>0</v>
      </c>
      <c r="I13" s="6">
        <v>0</v>
      </c>
      <c r="J13" s="6">
        <v>0</v>
      </c>
    </row>
    <row r="14" ht="409.5" spans="1:10">
      <c r="A14" s="3" t="s">
        <v>60</v>
      </c>
      <c r="B14" s="19" t="s">
        <v>66</v>
      </c>
      <c r="C14" s="5" t="s">
        <v>207</v>
      </c>
      <c r="D14" s="4">
        <v>5.4</v>
      </c>
      <c r="E14" s="7">
        <v>1</v>
      </c>
      <c r="F14" s="6">
        <v>0</v>
      </c>
      <c r="G14" s="6">
        <v>1</v>
      </c>
      <c r="H14" s="7">
        <v>1</v>
      </c>
      <c r="I14" s="7">
        <v>1</v>
      </c>
      <c r="J14" s="7">
        <v>1</v>
      </c>
    </row>
    <row r="15" ht="409.5" spans="1:10">
      <c r="A15" s="3" t="s">
        <v>64</v>
      </c>
      <c r="B15" s="8" t="s">
        <v>69</v>
      </c>
      <c r="C15" s="5" t="s">
        <v>208</v>
      </c>
      <c r="D15" s="4" t="s">
        <v>66</v>
      </c>
      <c r="E15" s="7">
        <v>1</v>
      </c>
      <c r="F15" s="6">
        <v>0</v>
      </c>
      <c r="G15" s="6">
        <v>1</v>
      </c>
      <c r="H15" s="7">
        <v>1</v>
      </c>
      <c r="I15" s="7">
        <v>1</v>
      </c>
      <c r="J15" s="7">
        <v>1</v>
      </c>
    </row>
    <row r="16" ht="409.5" spans="1:10">
      <c r="A16" s="3" t="s">
        <v>67</v>
      </c>
      <c r="B16" s="8" t="s">
        <v>75</v>
      </c>
      <c r="C16" s="5" t="s">
        <v>209</v>
      </c>
      <c r="D16" s="4" t="s">
        <v>210</v>
      </c>
      <c r="E16" s="6">
        <v>0</v>
      </c>
      <c r="F16" s="6">
        <v>1</v>
      </c>
      <c r="G16" s="6">
        <v>0</v>
      </c>
      <c r="H16" s="6">
        <v>0</v>
      </c>
      <c r="I16" s="6">
        <v>0</v>
      </c>
      <c r="J16" s="6">
        <v>0</v>
      </c>
    </row>
    <row r="17" ht="409.5" spans="1:10">
      <c r="A17" s="3" t="s">
        <v>73</v>
      </c>
      <c r="B17" s="8" t="s">
        <v>80</v>
      </c>
      <c r="C17" s="5" t="s">
        <v>211</v>
      </c>
      <c r="D17" s="4" t="s">
        <v>169</v>
      </c>
      <c r="E17" s="6">
        <v>0</v>
      </c>
      <c r="F17" s="6">
        <v>0</v>
      </c>
      <c r="G17" s="6">
        <v>1</v>
      </c>
      <c r="H17" s="7">
        <v>1</v>
      </c>
      <c r="I17" s="7">
        <v>0.5</v>
      </c>
      <c r="J17" s="7">
        <v>0.67</v>
      </c>
    </row>
    <row r="18" ht="409.5" spans="1:10">
      <c r="A18" s="3" t="s">
        <v>78</v>
      </c>
      <c r="B18" s="8" t="s">
        <v>86</v>
      </c>
      <c r="C18" s="5" t="s">
        <v>212</v>
      </c>
      <c r="D18" s="4" t="s">
        <v>213</v>
      </c>
      <c r="E18" s="6">
        <v>0</v>
      </c>
      <c r="F18" s="6">
        <v>0</v>
      </c>
      <c r="G18" s="6">
        <v>1</v>
      </c>
      <c r="H18" s="7">
        <v>0.5</v>
      </c>
      <c r="I18" s="7">
        <v>0.5</v>
      </c>
      <c r="J18" s="7">
        <v>0.5</v>
      </c>
    </row>
    <row r="19" ht="409.5" spans="1:10">
      <c r="A19" s="3" t="s">
        <v>84</v>
      </c>
      <c r="B19" s="19" t="s">
        <v>91</v>
      </c>
      <c r="C19" s="5" t="s">
        <v>214</v>
      </c>
      <c r="D19" s="4" t="s">
        <v>215</v>
      </c>
      <c r="E19" s="6">
        <v>0</v>
      </c>
      <c r="F19" s="6">
        <v>1</v>
      </c>
      <c r="G19" s="6">
        <v>0</v>
      </c>
      <c r="H19" s="6">
        <v>0</v>
      </c>
      <c r="I19" s="6">
        <v>0</v>
      </c>
      <c r="J19" s="6">
        <v>0</v>
      </c>
    </row>
    <row r="20" ht="409.5" spans="1:10">
      <c r="A20" s="3" t="s">
        <v>89</v>
      </c>
      <c r="B20" s="17">
        <v>6</v>
      </c>
      <c r="C20" s="5" t="s">
        <v>216</v>
      </c>
      <c r="D20" s="4" t="s">
        <v>91</v>
      </c>
      <c r="E20" s="7">
        <v>1</v>
      </c>
      <c r="F20" s="6">
        <v>0</v>
      </c>
      <c r="G20" s="6">
        <v>1</v>
      </c>
      <c r="H20" s="7">
        <v>1</v>
      </c>
      <c r="I20" s="7">
        <v>1</v>
      </c>
      <c r="J20" s="7">
        <v>1</v>
      </c>
    </row>
    <row r="21" ht="409.5" spans="1:10">
      <c r="A21" s="3" t="s">
        <v>94</v>
      </c>
      <c r="B21" s="8" t="s">
        <v>100</v>
      </c>
      <c r="C21" s="5" t="s">
        <v>217</v>
      </c>
      <c r="D21">
        <v>6</v>
      </c>
      <c r="E21" s="7">
        <v>1</v>
      </c>
      <c r="F21" s="6">
        <v>0</v>
      </c>
      <c r="G21" s="6">
        <v>1</v>
      </c>
      <c r="H21" s="7">
        <v>1</v>
      </c>
      <c r="I21" s="7">
        <v>1</v>
      </c>
      <c r="J21" s="7">
        <v>1</v>
      </c>
    </row>
    <row r="22" ht="409.5" spans="1:10">
      <c r="A22" s="3" t="s">
        <v>98</v>
      </c>
      <c r="B22" s="19" t="s">
        <v>105</v>
      </c>
      <c r="C22" s="5" t="s">
        <v>218</v>
      </c>
      <c r="D22" s="4" t="s">
        <v>100</v>
      </c>
      <c r="E22" s="7">
        <v>1</v>
      </c>
      <c r="F22" s="6">
        <v>0</v>
      </c>
      <c r="G22" s="6">
        <v>1</v>
      </c>
      <c r="H22" s="7">
        <v>1</v>
      </c>
      <c r="I22" s="7">
        <v>1</v>
      </c>
      <c r="J22" s="7">
        <v>1</v>
      </c>
    </row>
    <row r="23" ht="409.5" spans="1:10">
      <c r="A23" s="3" t="s">
        <v>103</v>
      </c>
      <c r="B23" s="19" t="s">
        <v>110</v>
      </c>
      <c r="C23" s="5" t="s">
        <v>219</v>
      </c>
      <c r="D23" s="4" t="s">
        <v>105</v>
      </c>
      <c r="E23" s="7">
        <v>1</v>
      </c>
      <c r="F23" s="6">
        <v>0</v>
      </c>
      <c r="G23" s="6">
        <v>1</v>
      </c>
      <c r="H23" s="7">
        <v>1</v>
      </c>
      <c r="I23" s="7">
        <v>1</v>
      </c>
      <c r="J23" s="7">
        <v>1</v>
      </c>
    </row>
    <row r="24" ht="409.5" spans="1:10">
      <c r="A24" s="3" t="s">
        <v>177</v>
      </c>
      <c r="B24" s="20">
        <v>0.6</v>
      </c>
      <c r="C24" s="5" t="s">
        <v>220</v>
      </c>
      <c r="D24" s="4" t="s">
        <v>221</v>
      </c>
      <c r="E24" s="6">
        <v>0</v>
      </c>
      <c r="F24" s="6">
        <v>1</v>
      </c>
      <c r="G24" s="6">
        <v>0</v>
      </c>
      <c r="H24" s="6">
        <v>0</v>
      </c>
      <c r="I24" s="6">
        <v>0</v>
      </c>
      <c r="J24" s="6">
        <v>0</v>
      </c>
    </row>
    <row r="25" ht="409.5" spans="1:10">
      <c r="A25" s="3" t="s">
        <v>113</v>
      </c>
      <c r="B25" s="13" t="s">
        <v>118</v>
      </c>
      <c r="C25" s="5" t="s">
        <v>222</v>
      </c>
      <c r="D25" s="22">
        <v>0.6</v>
      </c>
      <c r="E25" s="6">
        <v>1</v>
      </c>
      <c r="F25" s="6">
        <v>0</v>
      </c>
      <c r="G25" s="6">
        <v>1</v>
      </c>
      <c r="H25" s="6">
        <v>1</v>
      </c>
      <c r="I25" s="6">
        <v>1</v>
      </c>
      <c r="J25" s="6">
        <v>1</v>
      </c>
    </row>
    <row r="26" ht="409.5" spans="1:10">
      <c r="A26" s="12" t="s">
        <v>116</v>
      </c>
      <c r="B26" s="17" t="s">
        <v>123</v>
      </c>
      <c r="C26" s="5" t="s">
        <v>223</v>
      </c>
      <c r="D26" s="3" t="s">
        <v>224</v>
      </c>
      <c r="E26" s="6">
        <v>0</v>
      </c>
      <c r="F26" s="6">
        <v>1</v>
      </c>
      <c r="G26" s="6">
        <v>0</v>
      </c>
      <c r="H26" s="7">
        <v>0.5</v>
      </c>
      <c r="I26" s="7">
        <v>0.5</v>
      </c>
      <c r="J26" s="7">
        <v>0.5</v>
      </c>
    </row>
    <row r="27" ht="409.5" spans="1:10">
      <c r="A27" s="12" t="s">
        <v>121</v>
      </c>
      <c r="B27" s="17" t="s">
        <v>128</v>
      </c>
      <c r="C27" s="5" t="s">
        <v>225</v>
      </c>
      <c r="D27" s="4" t="s">
        <v>226</v>
      </c>
      <c r="E27" s="6">
        <v>0</v>
      </c>
      <c r="F27" s="6">
        <v>0</v>
      </c>
      <c r="G27" s="6">
        <v>1</v>
      </c>
      <c r="H27" s="7">
        <v>0.71</v>
      </c>
      <c r="I27" s="7">
        <v>1</v>
      </c>
      <c r="J27" s="7">
        <v>0.83</v>
      </c>
    </row>
    <row r="28" ht="409.5" spans="1:10">
      <c r="A28" s="12" t="s">
        <v>126</v>
      </c>
      <c r="B28" s="13" t="s">
        <v>132</v>
      </c>
      <c r="C28" s="5" t="s">
        <v>227</v>
      </c>
      <c r="D28" s="4" t="s">
        <v>228</v>
      </c>
      <c r="E28" s="6">
        <v>0</v>
      </c>
      <c r="F28" s="6">
        <v>0</v>
      </c>
      <c r="G28" s="6">
        <v>1</v>
      </c>
      <c r="H28" s="7">
        <v>1</v>
      </c>
      <c r="I28" s="7">
        <v>1</v>
      </c>
      <c r="J28" s="7">
        <v>1</v>
      </c>
    </row>
    <row r="29" ht="409.5" spans="1:10">
      <c r="A29" s="12" t="s">
        <v>130</v>
      </c>
      <c r="B29" s="13">
        <v>5</v>
      </c>
      <c r="C29" s="5" t="s">
        <v>229</v>
      </c>
      <c r="D29" s="4" t="s">
        <v>230</v>
      </c>
      <c r="E29" s="6">
        <v>0</v>
      </c>
      <c r="F29" s="6">
        <v>1</v>
      </c>
      <c r="G29" s="6">
        <v>0</v>
      </c>
      <c r="H29" s="6">
        <v>0</v>
      </c>
      <c r="I29" s="6">
        <v>0</v>
      </c>
      <c r="J29" s="6">
        <v>0</v>
      </c>
    </row>
    <row r="30" ht="409.5" spans="1:10">
      <c r="A30" s="12" t="s">
        <v>135</v>
      </c>
      <c r="B30" s="16" t="s">
        <v>140</v>
      </c>
      <c r="C30" s="5" t="s">
        <v>231</v>
      </c>
      <c r="D30" s="4" t="s">
        <v>232</v>
      </c>
      <c r="E30" s="6">
        <v>0</v>
      </c>
      <c r="F30" s="6">
        <v>0.5</v>
      </c>
      <c r="G30" s="6">
        <v>0.5</v>
      </c>
      <c r="H30" s="7">
        <v>0.5</v>
      </c>
      <c r="I30" s="7">
        <v>0.5</v>
      </c>
      <c r="J30" s="7">
        <v>0.5</v>
      </c>
    </row>
    <row r="31" ht="409.5" spans="1:10">
      <c r="A31" s="15" t="s">
        <v>138</v>
      </c>
      <c r="B31" s="19" t="s">
        <v>145</v>
      </c>
      <c r="C31" s="5" t="s">
        <v>233</v>
      </c>
      <c r="D31" s="4" t="s">
        <v>234</v>
      </c>
      <c r="E31" s="6">
        <v>0</v>
      </c>
      <c r="F31" s="6">
        <v>1</v>
      </c>
      <c r="G31" s="6">
        <v>0</v>
      </c>
      <c r="H31" s="6">
        <v>0</v>
      </c>
      <c r="I31" s="6">
        <v>0</v>
      </c>
      <c r="J31" s="6">
        <v>0</v>
      </c>
    </row>
    <row r="32" ht="409.5" spans="1:10">
      <c r="A32" s="3" t="s">
        <v>143</v>
      </c>
      <c r="B32" s="17"/>
      <c r="C32" s="5" t="s">
        <v>235</v>
      </c>
      <c r="D32" s="4" t="s">
        <v>145</v>
      </c>
      <c r="E32" s="7">
        <v>1</v>
      </c>
      <c r="F32" s="6">
        <v>0</v>
      </c>
      <c r="G32" s="6">
        <v>1</v>
      </c>
      <c r="H32" s="7">
        <v>1</v>
      </c>
      <c r="I32" s="7">
        <v>1</v>
      </c>
      <c r="J32" s="7">
        <v>1</v>
      </c>
    </row>
    <row r="33" spans="5:10">
      <c r="E33">
        <f>ROUND(AVERAGE(E2:E31),2)</f>
        <v>0.34</v>
      </c>
      <c r="F33">
        <f>ROUND(AVERAGE(F2:F31),2)</f>
        <v>0.33</v>
      </c>
      <c r="G33">
        <f>ROUND(AVERAGE(G2:G31),2)</f>
        <v>0.65</v>
      </c>
      <c r="H33">
        <f>ROUND(AVERAGE(H2:H31),2)</f>
        <v>0.51</v>
      </c>
      <c r="I33">
        <f>ROUND(AVERAGE(I2:I31),2)</f>
        <v>0.52</v>
      </c>
      <c r="J33">
        <f>ROUND(2*H33*I33/(H33+I33),2)</f>
        <v>0.51</v>
      </c>
    </row>
  </sheetData>
  <autoFilter xmlns:etc="http://www.wps.cn/officeDocument/2017/etCustomData" ref="F1:F33"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zoomScale="70" zoomScaleNormal="70" workbookViewId="0">
      <pane ySplit="1" topLeftCell="A30" activePane="bottomLeft" state="frozen"/>
      <selection/>
      <selection pane="bottomLeft" activeCell="B1" sqref="B$1:B$1048576"/>
    </sheetView>
  </sheetViews>
  <sheetFormatPr defaultColWidth="8.88888888888889" defaultRowHeight="13.8"/>
  <cols>
    <col min="1" max="1" width="76.5555555555556" customWidth="1"/>
    <col min="2" max="2" width="33.1111111111111" style="17" customWidth="1"/>
    <col min="3" max="3" width="9"/>
    <col min="4" max="4" width="24.6666666666667" customWidth="1"/>
    <col min="5" max="5" width="9.22222222222222"/>
    <col min="6" max="6" width="9"/>
    <col min="7" max="8" width="12.8888888888889"/>
    <col min="9" max="9" width="9"/>
    <col min="10" max="10" width="13.0092592592593" customWidth="1"/>
  </cols>
  <sheetData>
    <row r="1" ht="41.4" spans="1:10">
      <c r="A1" s="1" t="s">
        <v>0</v>
      </c>
      <c r="B1" s="18" t="s">
        <v>2</v>
      </c>
      <c r="C1" s="1" t="s">
        <v>148</v>
      </c>
      <c r="D1" s="1" t="s">
        <v>149</v>
      </c>
      <c r="E1" s="2" t="s">
        <v>6</v>
      </c>
      <c r="F1" s="2" t="s">
        <v>7</v>
      </c>
      <c r="G1" s="2" t="s">
        <v>8</v>
      </c>
      <c r="H1" s="2" t="s">
        <v>9</v>
      </c>
      <c r="I1" s="2" t="s">
        <v>10</v>
      </c>
      <c r="J1" s="2" t="s">
        <v>11</v>
      </c>
    </row>
    <row r="2" ht="15" spans="2:2">
      <c r="B2" s="19" t="s">
        <v>14</v>
      </c>
    </row>
    <row r="3" ht="409.5" spans="1:10">
      <c r="A3" s="3" t="s">
        <v>12</v>
      </c>
      <c r="B3" s="19">
        <v>3.5</v>
      </c>
      <c r="C3" s="5" t="s">
        <v>236</v>
      </c>
      <c r="D3" s="3" t="s">
        <v>87</v>
      </c>
      <c r="E3" s="6">
        <v>0</v>
      </c>
      <c r="F3" s="6"/>
      <c r="G3" s="6"/>
      <c r="H3" s="6">
        <v>0</v>
      </c>
      <c r="I3" s="6">
        <v>0</v>
      </c>
      <c r="J3" s="6">
        <v>0</v>
      </c>
    </row>
    <row r="4" ht="15" spans="1:10">
      <c r="A4" s="3" t="s">
        <v>17</v>
      </c>
      <c r="B4" s="19" t="s">
        <v>22</v>
      </c>
      <c r="C4" s="3" t="s">
        <v>237</v>
      </c>
      <c r="D4" s="3" t="s">
        <v>87</v>
      </c>
      <c r="E4" s="6">
        <v>0</v>
      </c>
      <c r="F4" s="6"/>
      <c r="G4" s="6"/>
      <c r="H4" s="6">
        <v>0</v>
      </c>
      <c r="I4" s="6">
        <v>0</v>
      </c>
      <c r="J4" s="6">
        <v>0</v>
      </c>
    </row>
    <row r="5" ht="15" spans="1:10">
      <c r="A5" s="3" t="s">
        <v>20</v>
      </c>
      <c r="B5" s="19" t="s">
        <v>27</v>
      </c>
      <c r="C5" s="3" t="s">
        <v>238</v>
      </c>
      <c r="D5" s="4" t="s">
        <v>239</v>
      </c>
      <c r="E5" s="6">
        <v>0</v>
      </c>
      <c r="F5" s="6">
        <v>1</v>
      </c>
      <c r="G5" s="6">
        <v>0</v>
      </c>
      <c r="H5" s="6">
        <v>0</v>
      </c>
      <c r="I5" s="6">
        <v>0</v>
      </c>
      <c r="J5" s="6">
        <v>0</v>
      </c>
    </row>
    <row r="6" ht="15" spans="1:10">
      <c r="A6" s="3" t="s">
        <v>25</v>
      </c>
      <c r="B6" s="8" t="s">
        <v>31</v>
      </c>
      <c r="C6" s="3" t="s">
        <v>240</v>
      </c>
      <c r="D6" s="4" t="s">
        <v>241</v>
      </c>
      <c r="E6" s="6">
        <v>0</v>
      </c>
      <c r="F6" s="6">
        <v>1</v>
      </c>
      <c r="G6" s="6">
        <v>0</v>
      </c>
      <c r="H6" s="6">
        <v>0.5</v>
      </c>
      <c r="I6" s="6">
        <v>1</v>
      </c>
      <c r="J6" s="6">
        <f>ROUND(2*H6*I6/(H6+I6),2)</f>
        <v>0.67</v>
      </c>
    </row>
    <row r="7" ht="409.5" spans="1:10">
      <c r="A7" s="3" t="s">
        <v>154</v>
      </c>
      <c r="B7" s="19" t="s">
        <v>35</v>
      </c>
      <c r="C7" s="5" t="s">
        <v>242</v>
      </c>
      <c r="D7" s="3" t="s">
        <v>87</v>
      </c>
      <c r="E7" s="6">
        <v>0</v>
      </c>
      <c r="F7" s="6"/>
      <c r="G7" s="6"/>
      <c r="H7" s="6">
        <v>0</v>
      </c>
      <c r="I7" s="6">
        <v>0</v>
      </c>
      <c r="J7" s="6">
        <v>0</v>
      </c>
    </row>
    <row r="8" ht="409.5" spans="1:10">
      <c r="A8" s="3" t="s">
        <v>33</v>
      </c>
      <c r="B8" s="8" t="s">
        <v>40</v>
      </c>
      <c r="C8" s="5" t="s">
        <v>243</v>
      </c>
      <c r="D8" s="3" t="s">
        <v>244</v>
      </c>
      <c r="E8" s="6">
        <v>0</v>
      </c>
      <c r="F8" s="6">
        <v>1</v>
      </c>
      <c r="G8" s="6">
        <v>0</v>
      </c>
      <c r="H8" s="6">
        <v>0</v>
      </c>
      <c r="I8" s="6">
        <v>0</v>
      </c>
      <c r="J8" s="6">
        <v>0</v>
      </c>
    </row>
    <row r="9" ht="409.5" spans="1:10">
      <c r="A9" s="3" t="s">
        <v>38</v>
      </c>
      <c r="B9" s="8" t="s">
        <v>46</v>
      </c>
      <c r="C9" s="5" t="s">
        <v>245</v>
      </c>
      <c r="D9" s="3" t="s">
        <v>246</v>
      </c>
      <c r="E9" s="6">
        <v>0</v>
      </c>
      <c r="F9" s="6">
        <v>1</v>
      </c>
      <c r="G9" s="6">
        <v>0</v>
      </c>
      <c r="H9" s="6">
        <v>0</v>
      </c>
      <c r="I9" s="6">
        <v>0</v>
      </c>
      <c r="J9" s="6">
        <v>0</v>
      </c>
    </row>
    <row r="10" ht="409.5" spans="1:10">
      <c r="A10" s="3" t="s">
        <v>44</v>
      </c>
      <c r="B10" s="19" t="s">
        <v>50</v>
      </c>
      <c r="C10" s="5" t="s">
        <v>247</v>
      </c>
      <c r="D10" s="3" t="s">
        <v>87</v>
      </c>
      <c r="E10" s="6">
        <v>0</v>
      </c>
      <c r="F10" s="6"/>
      <c r="G10" s="6"/>
      <c r="H10" s="6">
        <v>0</v>
      </c>
      <c r="I10" s="6">
        <v>0</v>
      </c>
      <c r="J10" s="6">
        <v>0</v>
      </c>
    </row>
    <row r="11" ht="345" spans="1:10">
      <c r="A11" s="3" t="s">
        <v>48</v>
      </c>
      <c r="B11" s="8" t="s">
        <v>55</v>
      </c>
      <c r="C11" s="5" t="s">
        <v>248</v>
      </c>
      <c r="D11" s="3" t="s">
        <v>87</v>
      </c>
      <c r="E11" s="6">
        <v>0</v>
      </c>
      <c r="F11" s="6"/>
      <c r="G11" s="6"/>
      <c r="H11" s="6">
        <v>0</v>
      </c>
      <c r="I11" s="6">
        <v>0</v>
      </c>
      <c r="J11" s="6">
        <v>0</v>
      </c>
    </row>
    <row r="12" ht="409.5" spans="1:10">
      <c r="A12" s="3" t="s">
        <v>53</v>
      </c>
      <c r="B12" s="19" t="s">
        <v>59</v>
      </c>
      <c r="C12" s="5" t="s">
        <v>249</v>
      </c>
      <c r="D12" s="3" t="s">
        <v>87</v>
      </c>
      <c r="E12" s="6">
        <v>0</v>
      </c>
      <c r="F12" s="6"/>
      <c r="G12" s="6"/>
      <c r="H12" s="6">
        <v>0</v>
      </c>
      <c r="I12" s="6">
        <v>0</v>
      </c>
      <c r="J12" s="6">
        <v>0</v>
      </c>
    </row>
    <row r="13" ht="409.5" spans="1:10">
      <c r="A13" s="3" t="s">
        <v>57</v>
      </c>
      <c r="B13" s="19">
        <v>5.4</v>
      </c>
      <c r="C13" s="5" t="s">
        <v>250</v>
      </c>
      <c r="D13" s="3" t="s">
        <v>251</v>
      </c>
      <c r="E13" s="6">
        <v>0</v>
      </c>
      <c r="F13" s="6">
        <v>1</v>
      </c>
      <c r="G13" s="6">
        <v>0</v>
      </c>
      <c r="H13" s="6">
        <v>0</v>
      </c>
      <c r="I13" s="6">
        <v>0</v>
      </c>
      <c r="J13" s="6">
        <v>0</v>
      </c>
    </row>
    <row r="14" ht="409.5" spans="1:10">
      <c r="A14" s="3" t="s">
        <v>60</v>
      </c>
      <c r="B14" s="19" t="s">
        <v>66</v>
      </c>
      <c r="C14" s="5" t="s">
        <v>252</v>
      </c>
      <c r="D14" s="3" t="s">
        <v>253</v>
      </c>
      <c r="E14" s="6">
        <v>0</v>
      </c>
      <c r="F14" s="6">
        <v>1</v>
      </c>
      <c r="G14" s="6">
        <v>0</v>
      </c>
      <c r="H14" s="6">
        <v>1</v>
      </c>
      <c r="I14" s="6">
        <v>1</v>
      </c>
      <c r="J14" s="6">
        <v>1</v>
      </c>
    </row>
    <row r="15" ht="409.5" spans="1:10">
      <c r="A15" s="3" t="s">
        <v>64</v>
      </c>
      <c r="B15" s="8" t="s">
        <v>69</v>
      </c>
      <c r="C15" s="5" t="s">
        <v>254</v>
      </c>
      <c r="D15" s="3" t="s">
        <v>255</v>
      </c>
      <c r="E15" s="6">
        <v>0</v>
      </c>
      <c r="F15" s="6">
        <v>0</v>
      </c>
      <c r="G15" s="6">
        <v>1</v>
      </c>
      <c r="H15" s="6">
        <v>1</v>
      </c>
      <c r="I15" s="6">
        <v>1</v>
      </c>
      <c r="J15" s="6">
        <v>1</v>
      </c>
    </row>
    <row r="16" ht="409.5" spans="1:10">
      <c r="A16" s="3" t="s">
        <v>67</v>
      </c>
      <c r="B16" s="8" t="s">
        <v>75</v>
      </c>
      <c r="C16" s="5" t="s">
        <v>256</v>
      </c>
      <c r="D16" s="3" t="s">
        <v>257</v>
      </c>
      <c r="E16" s="6">
        <v>0</v>
      </c>
      <c r="F16" s="6">
        <v>1</v>
      </c>
      <c r="G16" s="6">
        <v>0</v>
      </c>
      <c r="H16" s="7">
        <v>0</v>
      </c>
      <c r="I16" s="7">
        <v>0</v>
      </c>
      <c r="J16" s="7">
        <v>0</v>
      </c>
    </row>
    <row r="17" ht="409.5" spans="1:10">
      <c r="A17" s="3" t="s">
        <v>73</v>
      </c>
      <c r="B17" s="8" t="s">
        <v>80</v>
      </c>
      <c r="C17" s="5" t="s">
        <v>258</v>
      </c>
      <c r="D17" s="3" t="s">
        <v>259</v>
      </c>
      <c r="E17" s="6">
        <v>0</v>
      </c>
      <c r="F17" s="6">
        <v>1</v>
      </c>
      <c r="G17" s="6">
        <v>0</v>
      </c>
      <c r="H17" s="7">
        <v>0</v>
      </c>
      <c r="I17" s="7">
        <v>0</v>
      </c>
      <c r="J17" s="7">
        <v>0</v>
      </c>
    </row>
    <row r="18" ht="409.5" spans="1:10">
      <c r="A18" s="3" t="s">
        <v>78</v>
      </c>
      <c r="B18" s="8" t="s">
        <v>86</v>
      </c>
      <c r="C18" s="5" t="s">
        <v>260</v>
      </c>
      <c r="D18" s="3" t="s">
        <v>261</v>
      </c>
      <c r="E18" s="6">
        <v>0</v>
      </c>
      <c r="F18" s="6">
        <v>1</v>
      </c>
      <c r="G18" s="6">
        <v>0</v>
      </c>
      <c r="H18" s="6">
        <v>0</v>
      </c>
      <c r="I18" s="6">
        <v>0</v>
      </c>
      <c r="J18" s="6">
        <v>0</v>
      </c>
    </row>
    <row r="19" ht="409.5" spans="1:10">
      <c r="A19" s="3" t="s">
        <v>84</v>
      </c>
      <c r="B19" s="19" t="s">
        <v>91</v>
      </c>
      <c r="C19" s="5" t="s">
        <v>262</v>
      </c>
      <c r="D19" s="3" t="s">
        <v>87</v>
      </c>
      <c r="E19" s="6">
        <v>0</v>
      </c>
      <c r="F19" s="6"/>
      <c r="G19" s="6"/>
      <c r="H19" s="6">
        <v>0</v>
      </c>
      <c r="I19" s="6">
        <v>0</v>
      </c>
      <c r="J19" s="6">
        <v>0</v>
      </c>
    </row>
    <row r="20" ht="409.5" spans="1:10">
      <c r="A20" s="3" t="s">
        <v>89</v>
      </c>
      <c r="B20" s="17">
        <v>6</v>
      </c>
      <c r="C20" s="5" t="s">
        <v>263</v>
      </c>
      <c r="D20" s="3" t="s">
        <v>87</v>
      </c>
      <c r="E20" s="6">
        <v>0</v>
      </c>
      <c r="F20" s="6"/>
      <c r="G20" s="6"/>
      <c r="H20" s="6">
        <v>0</v>
      </c>
      <c r="I20" s="6">
        <v>0</v>
      </c>
      <c r="J20" s="6">
        <v>0</v>
      </c>
    </row>
    <row r="21" ht="409.5" spans="1:10">
      <c r="A21" s="3" t="s">
        <v>94</v>
      </c>
      <c r="B21" s="8" t="s">
        <v>100</v>
      </c>
      <c r="C21" s="5" t="s">
        <v>264</v>
      </c>
      <c r="D21">
        <v>5</v>
      </c>
      <c r="E21" s="6">
        <v>0</v>
      </c>
      <c r="F21" s="6">
        <v>1</v>
      </c>
      <c r="G21" s="6">
        <v>0</v>
      </c>
      <c r="H21" s="6">
        <v>0</v>
      </c>
      <c r="I21" s="6">
        <v>0</v>
      </c>
      <c r="J21" s="6">
        <v>0</v>
      </c>
    </row>
    <row r="22" ht="409.5" spans="1:10">
      <c r="A22" s="3" t="s">
        <v>98</v>
      </c>
      <c r="B22" s="19" t="s">
        <v>105</v>
      </c>
      <c r="C22" s="5" t="s">
        <v>265</v>
      </c>
      <c r="D22" s="3" t="s">
        <v>87</v>
      </c>
      <c r="E22" s="6">
        <v>0</v>
      </c>
      <c r="F22" s="6"/>
      <c r="G22" s="6"/>
      <c r="H22" s="6">
        <v>0</v>
      </c>
      <c r="I22" s="6">
        <v>0</v>
      </c>
      <c r="J22" s="6">
        <v>0</v>
      </c>
    </row>
    <row r="23" ht="409.5" spans="1:10">
      <c r="A23" s="3" t="s">
        <v>103</v>
      </c>
      <c r="B23" s="19" t="s">
        <v>110</v>
      </c>
      <c r="C23" s="5" t="s">
        <v>266</v>
      </c>
      <c r="D23" s="4" t="s">
        <v>105</v>
      </c>
      <c r="E23" s="6">
        <v>1</v>
      </c>
      <c r="F23" s="6">
        <v>0</v>
      </c>
      <c r="G23" s="6">
        <v>1</v>
      </c>
      <c r="H23" s="6">
        <v>1</v>
      </c>
      <c r="I23" s="6">
        <v>1</v>
      </c>
      <c r="J23" s="6">
        <v>1</v>
      </c>
    </row>
    <row r="24" ht="409.5" spans="1:10">
      <c r="A24" s="3" t="s">
        <v>177</v>
      </c>
      <c r="B24" s="20">
        <v>0.6</v>
      </c>
      <c r="C24" s="5" t="s">
        <v>267</v>
      </c>
      <c r="D24" s="3" t="s">
        <v>87</v>
      </c>
      <c r="E24" s="6">
        <v>0</v>
      </c>
      <c r="F24" s="6"/>
      <c r="G24" s="6"/>
      <c r="H24" s="6">
        <v>0</v>
      </c>
      <c r="I24" s="6">
        <v>0</v>
      </c>
      <c r="J24" s="6">
        <v>0</v>
      </c>
    </row>
    <row r="25" ht="409.5" spans="1:10">
      <c r="A25" s="3" t="s">
        <v>113</v>
      </c>
      <c r="B25" s="13" t="s">
        <v>118</v>
      </c>
      <c r="C25" s="5" t="s">
        <v>268</v>
      </c>
      <c r="D25" s="3" t="s">
        <v>87</v>
      </c>
      <c r="E25" s="6">
        <v>0</v>
      </c>
      <c r="F25" s="6"/>
      <c r="G25" s="6"/>
      <c r="H25" s="6">
        <v>0</v>
      </c>
      <c r="I25" s="6">
        <v>0</v>
      </c>
      <c r="J25" s="6">
        <v>0</v>
      </c>
    </row>
    <row r="26" ht="409.5" spans="1:10">
      <c r="A26" s="12" t="s">
        <v>116</v>
      </c>
      <c r="B26" s="17" t="s">
        <v>123</v>
      </c>
      <c r="C26" s="5" t="s">
        <v>269</v>
      </c>
      <c r="D26" s="3" t="s">
        <v>270</v>
      </c>
      <c r="E26" s="6">
        <v>0</v>
      </c>
      <c r="F26" s="6">
        <v>1</v>
      </c>
      <c r="G26" s="6">
        <v>0</v>
      </c>
      <c r="H26" s="7">
        <v>0.31</v>
      </c>
      <c r="I26" s="7">
        <v>0.57</v>
      </c>
      <c r="J26" s="7">
        <v>0.4</v>
      </c>
    </row>
    <row r="27" ht="409.5" spans="1:10">
      <c r="A27" s="12" t="s">
        <v>121</v>
      </c>
      <c r="B27" s="17" t="s">
        <v>128</v>
      </c>
      <c r="C27" s="5" t="s">
        <v>271</v>
      </c>
      <c r="D27" s="3" t="s">
        <v>272</v>
      </c>
      <c r="E27" s="6">
        <v>0</v>
      </c>
      <c r="F27" s="6">
        <v>1</v>
      </c>
      <c r="G27" s="6">
        <v>0</v>
      </c>
      <c r="H27" s="6">
        <v>0.5</v>
      </c>
      <c r="I27" s="6">
        <v>0.5</v>
      </c>
      <c r="J27" s="6">
        <f>ROUND(2*H27*I27/(H27+I27),2)</f>
        <v>0.5</v>
      </c>
    </row>
    <row r="28" ht="409.5" spans="1:10">
      <c r="A28" s="12" t="s">
        <v>126</v>
      </c>
      <c r="B28" s="13" t="s">
        <v>132</v>
      </c>
      <c r="C28" s="5" t="s">
        <v>273</v>
      </c>
      <c r="D28">
        <v>8.5</v>
      </c>
      <c r="E28" s="6">
        <v>0</v>
      </c>
      <c r="F28" s="6">
        <v>1</v>
      </c>
      <c r="G28" s="6">
        <v>0</v>
      </c>
      <c r="H28" s="6">
        <v>0</v>
      </c>
      <c r="I28" s="6">
        <v>0</v>
      </c>
      <c r="J28" s="6">
        <v>0</v>
      </c>
    </row>
    <row r="29" ht="409.5" spans="1:10">
      <c r="A29" s="12" t="s">
        <v>130</v>
      </c>
      <c r="B29" s="13">
        <v>5</v>
      </c>
      <c r="C29" s="5" t="s">
        <v>274</v>
      </c>
      <c r="D29" s="3" t="s">
        <v>275</v>
      </c>
      <c r="E29" s="6">
        <v>0</v>
      </c>
      <c r="F29" s="6">
        <v>1</v>
      </c>
      <c r="G29" s="6">
        <v>0</v>
      </c>
      <c r="H29" s="6">
        <v>0</v>
      </c>
      <c r="I29" s="6">
        <v>0</v>
      </c>
      <c r="J29" s="6">
        <v>0</v>
      </c>
    </row>
    <row r="30" ht="409.5" spans="1:10">
      <c r="A30" s="12" t="s">
        <v>187</v>
      </c>
      <c r="B30" s="16" t="s">
        <v>140</v>
      </c>
      <c r="C30" s="5" t="s">
        <v>276</v>
      </c>
      <c r="D30" s="3" t="s">
        <v>277</v>
      </c>
      <c r="E30" s="6">
        <v>0</v>
      </c>
      <c r="F30" s="6">
        <v>0.5</v>
      </c>
      <c r="G30" s="6">
        <v>0.5</v>
      </c>
      <c r="H30" s="7">
        <v>0.5</v>
      </c>
      <c r="I30" s="7">
        <v>0.5</v>
      </c>
      <c r="J30" s="7">
        <v>0.5</v>
      </c>
    </row>
    <row r="31" ht="409.5" spans="1:10">
      <c r="A31" s="15" t="s">
        <v>138</v>
      </c>
      <c r="B31" s="19" t="s">
        <v>145</v>
      </c>
      <c r="C31" s="5" t="s">
        <v>278</v>
      </c>
      <c r="D31" s="3" t="s">
        <v>279</v>
      </c>
      <c r="E31" s="6">
        <v>0</v>
      </c>
      <c r="F31" s="6">
        <v>1</v>
      </c>
      <c r="G31" s="6">
        <v>0</v>
      </c>
      <c r="H31" s="6">
        <v>0</v>
      </c>
      <c r="I31" s="6">
        <v>0</v>
      </c>
      <c r="J31" s="6">
        <v>0</v>
      </c>
    </row>
    <row r="32" spans="1:10">
      <c r="A32" s="3" t="s">
        <v>143</v>
      </c>
      <c r="B32" s="17"/>
      <c r="C32" s="3" t="s">
        <v>280</v>
      </c>
      <c r="D32" s="3" t="s">
        <v>281</v>
      </c>
      <c r="E32" s="6">
        <v>0</v>
      </c>
      <c r="F32" s="6"/>
      <c r="G32" s="6"/>
      <c r="H32" s="6">
        <v>0</v>
      </c>
      <c r="I32" s="6">
        <v>0</v>
      </c>
      <c r="J32" s="6">
        <v>0</v>
      </c>
    </row>
    <row r="33" spans="5:10">
      <c r="E33">
        <f>ROUND(AVERAGE(E2:E31),2)</f>
        <v>0.03</v>
      </c>
      <c r="F33">
        <f>ROUND(AVERAGE(F2:F31),2)</f>
        <v>0.86</v>
      </c>
      <c r="G33">
        <f>ROUND(AVERAGE(G2:G31),2)</f>
        <v>0.14</v>
      </c>
      <c r="H33">
        <f>ROUND(AVERAGE(H2:H31),2)</f>
        <v>0.17</v>
      </c>
      <c r="I33">
        <f>ROUND(AVERAGE(I2:I31),2)</f>
        <v>0.19</v>
      </c>
      <c r="J33">
        <f>ROUND(2*H33*I33/(H33+I33),2)</f>
        <v>0.18</v>
      </c>
    </row>
  </sheetData>
  <autoFilter xmlns:etc="http://www.wps.cn/officeDocument/2017/etCustomData" ref="A1:J33"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zoomScale="70" zoomScaleNormal="70" workbookViewId="0">
      <selection activeCell="B1" sqref="B$1:B$1048576"/>
    </sheetView>
  </sheetViews>
  <sheetFormatPr defaultColWidth="8.88888888888889" defaultRowHeight="13.8"/>
  <cols>
    <col min="1" max="1" width="76.5555555555556" customWidth="1"/>
    <col min="2" max="2" width="33.1111111111111" style="17" customWidth="1"/>
    <col min="3" max="3" width="9"/>
    <col min="4" max="4" width="24.6666666666667" customWidth="1"/>
    <col min="5" max="6" width="9"/>
    <col min="7" max="8" width="12.8888888888889"/>
    <col min="9" max="9" width="9"/>
    <col min="10" max="10" width="12.8888888888889"/>
  </cols>
  <sheetData>
    <row r="1" ht="41.4" spans="1:10">
      <c r="A1" s="1" t="s">
        <v>0</v>
      </c>
      <c r="B1" s="18" t="s">
        <v>2</v>
      </c>
      <c r="C1" s="1" t="s">
        <v>148</v>
      </c>
      <c r="D1" s="1" t="s">
        <v>149</v>
      </c>
      <c r="E1" s="2" t="s">
        <v>6</v>
      </c>
      <c r="F1" s="2" t="s">
        <v>7</v>
      </c>
      <c r="G1" s="2" t="s">
        <v>8</v>
      </c>
      <c r="H1" s="2" t="s">
        <v>9</v>
      </c>
      <c r="I1" s="2" t="s">
        <v>10</v>
      </c>
      <c r="J1" s="2" t="s">
        <v>11</v>
      </c>
    </row>
    <row r="2" ht="409.5" spans="1:10">
      <c r="A2" s="3" t="s">
        <v>143</v>
      </c>
      <c r="B2" s="19" t="s">
        <v>14</v>
      </c>
      <c r="C2" s="5" t="s">
        <v>282</v>
      </c>
      <c r="D2" s="3" t="s">
        <v>283</v>
      </c>
      <c r="E2" s="6">
        <v>0</v>
      </c>
      <c r="F2" s="6">
        <v>1</v>
      </c>
      <c r="G2" s="6">
        <v>0</v>
      </c>
      <c r="H2" s="6">
        <v>0</v>
      </c>
      <c r="I2" s="6">
        <v>0</v>
      </c>
      <c r="J2" s="6">
        <v>0</v>
      </c>
    </row>
    <row r="3" ht="409.5" spans="1:10">
      <c r="A3" s="3" t="s">
        <v>12</v>
      </c>
      <c r="B3" s="19">
        <v>3.5</v>
      </c>
      <c r="C3" s="5" t="s">
        <v>284</v>
      </c>
      <c r="D3" s="3" t="s">
        <v>285</v>
      </c>
      <c r="E3" s="6">
        <v>0</v>
      </c>
      <c r="F3" s="6">
        <v>1</v>
      </c>
      <c r="G3" s="6">
        <v>0</v>
      </c>
      <c r="H3" s="6">
        <v>0</v>
      </c>
      <c r="I3" s="6">
        <v>0</v>
      </c>
      <c r="J3" s="6">
        <v>0</v>
      </c>
    </row>
    <row r="4" ht="372.6" spans="1:10">
      <c r="A4" s="3" t="s">
        <v>17</v>
      </c>
      <c r="B4" s="19" t="s">
        <v>22</v>
      </c>
      <c r="C4" s="5" t="s">
        <v>286</v>
      </c>
      <c r="D4" s="3">
        <v>6</v>
      </c>
      <c r="E4" s="6">
        <v>0</v>
      </c>
      <c r="F4" s="6">
        <v>1</v>
      </c>
      <c r="G4" s="6">
        <v>0</v>
      </c>
      <c r="H4" s="6">
        <v>0</v>
      </c>
      <c r="I4" s="6">
        <v>0</v>
      </c>
      <c r="J4" s="6">
        <v>0</v>
      </c>
    </row>
    <row r="5" ht="409.5" spans="1:10">
      <c r="A5" s="3" t="s">
        <v>20</v>
      </c>
      <c r="B5" s="19" t="s">
        <v>27</v>
      </c>
      <c r="C5" s="5" t="s">
        <v>287</v>
      </c>
      <c r="D5" s="3" t="s">
        <v>288</v>
      </c>
      <c r="E5" s="6">
        <v>0</v>
      </c>
      <c r="F5" s="6">
        <v>0</v>
      </c>
      <c r="G5" s="6">
        <v>1</v>
      </c>
      <c r="H5" s="7">
        <v>1</v>
      </c>
      <c r="I5" s="7">
        <v>1</v>
      </c>
      <c r="J5" s="7">
        <v>1</v>
      </c>
    </row>
    <row r="6" ht="15" spans="1:10">
      <c r="A6" s="3" t="s">
        <v>25</v>
      </c>
      <c r="B6" s="8" t="s">
        <v>31</v>
      </c>
      <c r="C6" t="s">
        <v>289</v>
      </c>
      <c r="D6" t="s">
        <v>290</v>
      </c>
      <c r="E6" s="6">
        <v>0</v>
      </c>
      <c r="F6" s="6">
        <v>0</v>
      </c>
      <c r="G6" s="6">
        <v>1</v>
      </c>
      <c r="H6" s="7">
        <v>0.5</v>
      </c>
      <c r="I6" s="7">
        <v>0.5</v>
      </c>
      <c r="J6" s="7">
        <v>0.5</v>
      </c>
    </row>
    <row r="7" ht="15" spans="1:10">
      <c r="A7" s="3" t="s">
        <v>154</v>
      </c>
      <c r="B7" s="19" t="s">
        <v>35</v>
      </c>
      <c r="C7" t="s">
        <v>291</v>
      </c>
      <c r="D7" s="9" t="s">
        <v>292</v>
      </c>
      <c r="E7" s="6">
        <v>0</v>
      </c>
      <c r="F7" s="6">
        <v>1</v>
      </c>
      <c r="G7" s="6">
        <v>0</v>
      </c>
      <c r="H7" s="6">
        <v>0</v>
      </c>
      <c r="I7" s="6">
        <v>0</v>
      </c>
      <c r="J7" s="6">
        <v>0</v>
      </c>
    </row>
    <row r="8" ht="15" spans="1:10">
      <c r="A8" s="3" t="s">
        <v>33</v>
      </c>
      <c r="B8" s="8" t="s">
        <v>40</v>
      </c>
      <c r="C8" t="s">
        <v>293</v>
      </c>
      <c r="D8" t="s">
        <v>294</v>
      </c>
      <c r="E8" s="6">
        <v>0</v>
      </c>
      <c r="F8" s="6">
        <v>1</v>
      </c>
      <c r="G8" s="6">
        <v>0</v>
      </c>
      <c r="H8" s="6">
        <v>0</v>
      </c>
      <c r="I8" s="6">
        <v>0</v>
      </c>
      <c r="J8" s="6">
        <v>0</v>
      </c>
    </row>
    <row r="9" ht="15" spans="1:10">
      <c r="A9" s="3" t="s">
        <v>38</v>
      </c>
      <c r="B9" s="8" t="s">
        <v>46</v>
      </c>
      <c r="C9" t="s">
        <v>295</v>
      </c>
      <c r="D9" s="9" t="s">
        <v>296</v>
      </c>
      <c r="E9" s="6">
        <v>0</v>
      </c>
      <c r="F9" s="6">
        <v>1</v>
      </c>
      <c r="G9" s="6">
        <v>0</v>
      </c>
      <c r="H9" s="7">
        <v>0</v>
      </c>
      <c r="I9" s="7">
        <v>0</v>
      </c>
      <c r="J9" s="7">
        <v>0</v>
      </c>
    </row>
    <row r="10" ht="15" spans="1:10">
      <c r="A10" s="3" t="s">
        <v>44</v>
      </c>
      <c r="B10" s="19" t="s">
        <v>50</v>
      </c>
      <c r="C10" t="s">
        <v>297</v>
      </c>
      <c r="D10" s="9" t="s">
        <v>298</v>
      </c>
      <c r="E10" s="6">
        <v>0</v>
      </c>
      <c r="F10" s="6">
        <v>1</v>
      </c>
      <c r="G10" s="6">
        <v>0</v>
      </c>
      <c r="H10" s="6">
        <v>0</v>
      </c>
      <c r="I10" s="6">
        <v>0</v>
      </c>
      <c r="J10" s="6">
        <v>0</v>
      </c>
    </row>
    <row r="11" ht="15" spans="1:10">
      <c r="A11" s="3" t="s">
        <v>48</v>
      </c>
      <c r="B11" s="8" t="s">
        <v>55</v>
      </c>
      <c r="C11" s="3" t="s">
        <v>299</v>
      </c>
      <c r="D11" t="s">
        <v>300</v>
      </c>
      <c r="E11" s="6">
        <v>0</v>
      </c>
      <c r="F11" s="6">
        <v>1</v>
      </c>
      <c r="G11" s="6">
        <v>0</v>
      </c>
      <c r="H11" s="6">
        <v>0</v>
      </c>
      <c r="I11" s="6">
        <v>0</v>
      </c>
      <c r="J11" s="6">
        <v>0</v>
      </c>
    </row>
    <row r="12" ht="409.5" spans="1:10">
      <c r="A12" s="3" t="s">
        <v>53</v>
      </c>
      <c r="B12" s="19" t="s">
        <v>59</v>
      </c>
      <c r="C12" s="5" t="s">
        <v>301</v>
      </c>
      <c r="D12" t="s">
        <v>302</v>
      </c>
      <c r="E12" s="6">
        <v>0</v>
      </c>
      <c r="F12" s="6">
        <v>1</v>
      </c>
      <c r="G12" s="6">
        <v>0</v>
      </c>
      <c r="H12" s="6">
        <v>0</v>
      </c>
      <c r="I12" s="6">
        <v>0</v>
      </c>
      <c r="J12" s="6">
        <v>0</v>
      </c>
    </row>
    <row r="13" ht="409.5" spans="1:10">
      <c r="A13" s="3" t="s">
        <v>57</v>
      </c>
      <c r="B13" s="19">
        <v>5.4</v>
      </c>
      <c r="C13" s="5" t="s">
        <v>303</v>
      </c>
      <c r="D13" t="s">
        <v>302</v>
      </c>
      <c r="E13" s="6">
        <v>0</v>
      </c>
      <c r="F13" s="6">
        <v>1</v>
      </c>
      <c r="G13" s="6">
        <v>0</v>
      </c>
      <c r="H13" s="6">
        <v>0</v>
      </c>
      <c r="I13" s="6">
        <v>0</v>
      </c>
      <c r="J13" s="6">
        <v>0</v>
      </c>
    </row>
    <row r="14" ht="207" spans="1:10">
      <c r="A14" s="3" t="s">
        <v>60</v>
      </c>
      <c r="B14" s="19" t="s">
        <v>66</v>
      </c>
      <c r="C14" s="5" t="s">
        <v>304</v>
      </c>
      <c r="D14">
        <v>6</v>
      </c>
      <c r="E14" s="6">
        <v>0</v>
      </c>
      <c r="F14" s="6">
        <v>1</v>
      </c>
      <c r="G14" s="6">
        <v>0</v>
      </c>
      <c r="H14" s="6">
        <v>0</v>
      </c>
      <c r="I14" s="6">
        <v>0</v>
      </c>
      <c r="J14" s="6">
        <v>0</v>
      </c>
    </row>
    <row r="15" ht="220.8" spans="1:10">
      <c r="A15" s="3" t="s">
        <v>64</v>
      </c>
      <c r="B15" s="8" t="s">
        <v>69</v>
      </c>
      <c r="C15" s="5" t="s">
        <v>305</v>
      </c>
      <c r="D15" s="3" t="s">
        <v>66</v>
      </c>
      <c r="E15" s="7">
        <v>1</v>
      </c>
      <c r="F15" s="6">
        <v>0</v>
      </c>
      <c r="G15" s="6">
        <v>1</v>
      </c>
      <c r="H15" s="7">
        <v>1</v>
      </c>
      <c r="I15" s="7">
        <v>1</v>
      </c>
      <c r="J15" s="7">
        <v>1</v>
      </c>
    </row>
    <row r="16" ht="409.5" spans="1:10">
      <c r="A16" s="3" t="s">
        <v>67</v>
      </c>
      <c r="B16" s="8" t="s">
        <v>75</v>
      </c>
      <c r="C16" s="5" t="s">
        <v>306</v>
      </c>
      <c r="D16" s="9" t="s">
        <v>307</v>
      </c>
      <c r="E16" s="6">
        <v>0</v>
      </c>
      <c r="F16" s="6">
        <v>1</v>
      </c>
      <c r="G16" s="6">
        <v>0</v>
      </c>
      <c r="H16" s="7">
        <v>0</v>
      </c>
      <c r="I16" s="7">
        <v>0</v>
      </c>
      <c r="J16" s="7">
        <v>0</v>
      </c>
    </row>
    <row r="17" ht="409.5" spans="1:10">
      <c r="A17" s="3" t="s">
        <v>73</v>
      </c>
      <c r="B17" s="8" t="s">
        <v>80</v>
      </c>
      <c r="C17" s="5" t="s">
        <v>308</v>
      </c>
      <c r="D17" t="s">
        <v>169</v>
      </c>
      <c r="E17" s="6">
        <v>0</v>
      </c>
      <c r="F17" s="6">
        <v>0</v>
      </c>
      <c r="G17" s="6">
        <v>1</v>
      </c>
      <c r="H17" s="7">
        <v>0.5</v>
      </c>
      <c r="I17" s="7">
        <v>1</v>
      </c>
      <c r="J17" s="7">
        <v>0.67</v>
      </c>
    </row>
    <row r="18" ht="409.5" spans="1:10">
      <c r="A18" s="3" t="s">
        <v>78</v>
      </c>
      <c r="B18" s="8" t="s">
        <v>86</v>
      </c>
      <c r="C18" s="5" t="s">
        <v>309</v>
      </c>
      <c r="D18" t="s">
        <v>310</v>
      </c>
      <c r="E18" s="6">
        <v>0</v>
      </c>
      <c r="F18" s="6">
        <v>1</v>
      </c>
      <c r="G18" s="6">
        <v>0</v>
      </c>
      <c r="H18" s="6">
        <v>0</v>
      </c>
      <c r="I18" s="6">
        <v>0</v>
      </c>
      <c r="J18" s="6">
        <v>0</v>
      </c>
    </row>
    <row r="19" ht="409.5" spans="1:10">
      <c r="A19" s="3" t="s">
        <v>84</v>
      </c>
      <c r="B19" s="19" t="s">
        <v>91</v>
      </c>
      <c r="C19" s="5" t="s">
        <v>311</v>
      </c>
      <c r="D19" s="3" t="s">
        <v>312</v>
      </c>
      <c r="E19" s="6">
        <v>0</v>
      </c>
      <c r="F19" s="6">
        <v>1</v>
      </c>
      <c r="G19" s="6">
        <v>0</v>
      </c>
      <c r="H19" s="6">
        <v>0</v>
      </c>
      <c r="I19" s="6">
        <v>0</v>
      </c>
      <c r="J19" s="6">
        <v>0</v>
      </c>
    </row>
    <row r="20" ht="358.8" spans="1:10">
      <c r="A20" s="3" t="s">
        <v>89</v>
      </c>
      <c r="B20" s="17">
        <v>6</v>
      </c>
      <c r="C20" s="5" t="s">
        <v>313</v>
      </c>
      <c r="D20" s="3" t="s">
        <v>314</v>
      </c>
      <c r="E20" s="6">
        <v>0</v>
      </c>
      <c r="F20" s="6">
        <v>1</v>
      </c>
      <c r="G20" s="6">
        <v>0</v>
      </c>
      <c r="H20" s="6">
        <v>0</v>
      </c>
      <c r="I20" s="6">
        <v>0</v>
      </c>
      <c r="J20" s="6">
        <v>0</v>
      </c>
    </row>
    <row r="21" ht="331.2" spans="1:10">
      <c r="A21" s="3" t="s">
        <v>94</v>
      </c>
      <c r="B21" s="8" t="s">
        <v>100</v>
      </c>
      <c r="C21" s="5" t="s">
        <v>315</v>
      </c>
      <c r="D21">
        <v>6</v>
      </c>
      <c r="E21" s="7">
        <v>1</v>
      </c>
      <c r="F21" s="6">
        <v>0</v>
      </c>
      <c r="G21" s="6">
        <v>1</v>
      </c>
      <c r="H21" s="7">
        <v>1</v>
      </c>
      <c r="I21" s="7">
        <v>1</v>
      </c>
      <c r="J21" s="7">
        <v>1</v>
      </c>
    </row>
    <row r="22" ht="317.4" spans="1:10">
      <c r="A22" s="3" t="s">
        <v>98</v>
      </c>
      <c r="B22" s="19" t="s">
        <v>105</v>
      </c>
      <c r="C22" s="5" t="s">
        <v>316</v>
      </c>
      <c r="D22" s="3" t="s">
        <v>317</v>
      </c>
      <c r="E22" s="6">
        <v>0</v>
      </c>
      <c r="F22" s="6">
        <v>1</v>
      </c>
      <c r="G22" s="6">
        <v>0</v>
      </c>
      <c r="H22" s="6">
        <v>0</v>
      </c>
      <c r="I22" s="6">
        <v>0</v>
      </c>
      <c r="J22" s="6">
        <v>0</v>
      </c>
    </row>
    <row r="23" ht="262.2" spans="1:10">
      <c r="A23" s="3" t="s">
        <v>103</v>
      </c>
      <c r="B23" s="19" t="s">
        <v>110</v>
      </c>
      <c r="C23" s="5" t="s">
        <v>318</v>
      </c>
      <c r="D23" s="3" t="s">
        <v>105</v>
      </c>
      <c r="E23" s="7">
        <v>1</v>
      </c>
      <c r="F23" s="6">
        <v>0</v>
      </c>
      <c r="G23" s="6">
        <v>1</v>
      </c>
      <c r="H23" s="7">
        <v>1</v>
      </c>
      <c r="I23" s="7">
        <v>1</v>
      </c>
      <c r="J23" s="7">
        <v>1</v>
      </c>
    </row>
    <row r="24" ht="303.6" spans="1:10">
      <c r="A24" s="3" t="s">
        <v>177</v>
      </c>
      <c r="B24" s="20">
        <v>0.6</v>
      </c>
      <c r="C24" s="5" t="s">
        <v>319</v>
      </c>
      <c r="D24" s="9" t="s">
        <v>320</v>
      </c>
      <c r="E24" s="6">
        <v>0</v>
      </c>
      <c r="F24" s="6">
        <v>1</v>
      </c>
      <c r="G24" s="6">
        <v>0</v>
      </c>
      <c r="H24" s="6">
        <v>0</v>
      </c>
      <c r="I24" s="6">
        <v>0</v>
      </c>
      <c r="J24" s="6">
        <v>0</v>
      </c>
    </row>
    <row r="25" ht="289.8" spans="1:10">
      <c r="A25" s="3" t="s">
        <v>113</v>
      </c>
      <c r="B25" s="13" t="s">
        <v>118</v>
      </c>
      <c r="C25" s="5" t="s">
        <v>321</v>
      </c>
      <c r="D25" s="21">
        <v>0.285</v>
      </c>
      <c r="E25" s="6">
        <v>0</v>
      </c>
      <c r="F25" s="6">
        <v>1</v>
      </c>
      <c r="G25" s="6">
        <v>0</v>
      </c>
      <c r="H25" s="6">
        <v>0</v>
      </c>
      <c r="I25" s="6">
        <v>0</v>
      </c>
      <c r="J25" s="6">
        <v>0</v>
      </c>
    </row>
    <row r="26" ht="409.5" spans="1:10">
      <c r="A26" s="12" t="s">
        <v>116</v>
      </c>
      <c r="B26" s="17" t="s">
        <v>123</v>
      </c>
      <c r="C26" s="5" t="s">
        <v>322</v>
      </c>
      <c r="D26" s="3" t="s">
        <v>323</v>
      </c>
      <c r="E26" s="6">
        <v>0</v>
      </c>
      <c r="F26" s="6">
        <v>1</v>
      </c>
      <c r="G26" s="6">
        <v>0</v>
      </c>
      <c r="H26" s="7">
        <v>0.5</v>
      </c>
      <c r="I26" s="7">
        <v>0.4</v>
      </c>
      <c r="J26" s="7">
        <v>0.44</v>
      </c>
    </row>
    <row r="27" ht="409.5" spans="1:10">
      <c r="A27" s="12" t="s">
        <v>121</v>
      </c>
      <c r="B27" s="17" t="s">
        <v>128</v>
      </c>
      <c r="C27" s="5" t="s">
        <v>324</v>
      </c>
      <c r="D27" s="3" t="s">
        <v>325</v>
      </c>
      <c r="E27" s="6">
        <v>0</v>
      </c>
      <c r="F27" s="6">
        <v>0</v>
      </c>
      <c r="G27" s="6">
        <v>1</v>
      </c>
      <c r="H27" s="6">
        <v>1</v>
      </c>
      <c r="I27" s="6">
        <v>1</v>
      </c>
      <c r="J27" s="6">
        <v>1</v>
      </c>
    </row>
    <row r="28" ht="262.2" spans="1:10">
      <c r="A28" s="12" t="s">
        <v>126</v>
      </c>
      <c r="B28" s="13" t="s">
        <v>132</v>
      </c>
      <c r="C28" s="5" t="s">
        <v>326</v>
      </c>
      <c r="D28">
        <v>7</v>
      </c>
      <c r="E28" s="7">
        <v>1</v>
      </c>
      <c r="F28" s="6">
        <v>0</v>
      </c>
      <c r="G28" s="6">
        <v>1</v>
      </c>
      <c r="H28" s="7">
        <v>1</v>
      </c>
      <c r="I28" s="7">
        <v>1</v>
      </c>
      <c r="J28" s="7">
        <v>1</v>
      </c>
    </row>
    <row r="29" ht="409.5" spans="1:10">
      <c r="A29" s="12" t="s">
        <v>130</v>
      </c>
      <c r="B29" s="13">
        <v>5</v>
      </c>
      <c r="C29" s="5" t="s">
        <v>327</v>
      </c>
      <c r="D29" s="3" t="s">
        <v>87</v>
      </c>
      <c r="E29" s="6">
        <v>0</v>
      </c>
      <c r="F29" s="6"/>
      <c r="G29" s="6"/>
      <c r="H29" s="6">
        <v>0</v>
      </c>
      <c r="I29" s="6">
        <v>0</v>
      </c>
      <c r="J29" s="6">
        <v>0</v>
      </c>
    </row>
    <row r="30" ht="409.5" spans="1:10">
      <c r="A30" s="12" t="s">
        <v>135</v>
      </c>
      <c r="B30" s="16" t="s">
        <v>140</v>
      </c>
      <c r="C30" s="5" t="s">
        <v>328</v>
      </c>
      <c r="D30" s="5" t="s">
        <v>277</v>
      </c>
      <c r="E30" s="6">
        <v>0</v>
      </c>
      <c r="F30" s="6">
        <v>0.5</v>
      </c>
      <c r="G30" s="6">
        <v>0.5</v>
      </c>
      <c r="H30" s="7">
        <v>0.5</v>
      </c>
      <c r="I30" s="7">
        <v>0.5</v>
      </c>
      <c r="J30" s="7">
        <v>0.5</v>
      </c>
    </row>
    <row r="31" ht="400.2" spans="1:10">
      <c r="A31" s="15" t="s">
        <v>138</v>
      </c>
      <c r="B31" s="19" t="s">
        <v>145</v>
      </c>
      <c r="C31" s="5" t="s">
        <v>329</v>
      </c>
      <c r="D31" s="3" t="s">
        <v>330</v>
      </c>
      <c r="E31" s="6">
        <v>0</v>
      </c>
      <c r="F31" s="6">
        <v>1</v>
      </c>
      <c r="G31" s="6">
        <v>0</v>
      </c>
      <c r="H31" s="6">
        <v>0.5</v>
      </c>
      <c r="I31" s="6">
        <v>0.5</v>
      </c>
      <c r="J31" s="6">
        <v>0.5</v>
      </c>
    </row>
    <row r="32" ht="409.5" spans="1:10">
      <c r="A32" s="3" t="s">
        <v>143</v>
      </c>
      <c r="B32" s="17"/>
      <c r="C32" s="5" t="s">
        <v>282</v>
      </c>
      <c r="D32" s="3" t="s">
        <v>283</v>
      </c>
      <c r="E32" s="6">
        <v>0</v>
      </c>
      <c r="F32" s="6">
        <v>1</v>
      </c>
      <c r="G32" s="6">
        <v>0</v>
      </c>
      <c r="H32" s="6">
        <v>0</v>
      </c>
      <c r="I32" s="6">
        <v>0</v>
      </c>
      <c r="J32" s="6">
        <v>0</v>
      </c>
    </row>
    <row r="33" spans="5:10">
      <c r="E33">
        <f t="shared" ref="E33:I33" si="0">ROUND(AVERAGE(E2:E31),2)</f>
        <v>0.13</v>
      </c>
      <c r="F33">
        <f t="shared" si="0"/>
        <v>0.71</v>
      </c>
      <c r="G33">
        <f t="shared" si="0"/>
        <v>0.29</v>
      </c>
      <c r="H33">
        <f t="shared" si="0"/>
        <v>0.28</v>
      </c>
      <c r="I33">
        <f t="shared" si="0"/>
        <v>0.3</v>
      </c>
      <c r="J33">
        <f>ROUND(2*H33*I33/(H33+I33),2)</f>
        <v>0.29</v>
      </c>
    </row>
  </sheetData>
  <autoFilter xmlns:etc="http://www.wps.cn/officeDocument/2017/etCustomData" ref="F1:F33"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zoomScale="70" zoomScaleNormal="70" workbookViewId="0">
      <selection activeCell="B8" sqref="B8"/>
    </sheetView>
  </sheetViews>
  <sheetFormatPr defaultColWidth="8.88888888888889" defaultRowHeight="13.8"/>
  <cols>
    <col min="1" max="1" width="76.5555555555556" customWidth="1"/>
    <col min="2" max="2" width="33.1111111111111" customWidth="1"/>
    <col min="3" max="3" width="9"/>
    <col min="4" max="4" width="24.6666666666667" customWidth="1"/>
    <col min="5" max="5" width="12.8888888888889"/>
    <col min="7" max="8" width="9"/>
    <col min="9" max="10" width="12.8888888888889"/>
  </cols>
  <sheetData>
    <row r="1" ht="41.4" spans="1:10">
      <c r="A1" s="1" t="s">
        <v>0</v>
      </c>
      <c r="B1" s="1" t="s">
        <v>2</v>
      </c>
      <c r="C1" s="1" t="s">
        <v>148</v>
      </c>
      <c r="D1" s="1" t="s">
        <v>149</v>
      </c>
      <c r="E1" s="2" t="s">
        <v>6</v>
      </c>
      <c r="F1" s="2" t="s">
        <v>7</v>
      </c>
      <c r="G1" s="2" t="s">
        <v>8</v>
      </c>
      <c r="H1" s="2" t="s">
        <v>9</v>
      </c>
      <c r="I1" s="2" t="s">
        <v>10</v>
      </c>
      <c r="J1" s="2" t="s">
        <v>11</v>
      </c>
    </row>
    <row r="2" ht="248.4" spans="1:10">
      <c r="A2" s="3" t="s">
        <v>12</v>
      </c>
      <c r="B2" s="4" t="s">
        <v>14</v>
      </c>
      <c r="C2" s="5" t="s">
        <v>331</v>
      </c>
      <c r="D2" s="3" t="s">
        <v>332</v>
      </c>
      <c r="E2" s="6">
        <v>0</v>
      </c>
      <c r="F2" s="6">
        <v>1</v>
      </c>
      <c r="G2" s="6">
        <v>0</v>
      </c>
      <c r="H2" s="6">
        <v>0</v>
      </c>
      <c r="I2" s="6">
        <v>0</v>
      </c>
      <c r="J2" s="6">
        <v>0</v>
      </c>
    </row>
    <row r="3" ht="15" spans="1:10">
      <c r="A3" s="3" t="s">
        <v>17</v>
      </c>
      <c r="B3" s="4">
        <v>3.5</v>
      </c>
      <c r="C3" t="s">
        <v>333</v>
      </c>
      <c r="D3" s="3">
        <v>5.5</v>
      </c>
      <c r="E3" s="6">
        <v>0</v>
      </c>
      <c r="F3" s="6">
        <v>1</v>
      </c>
      <c r="G3" s="6">
        <v>0</v>
      </c>
      <c r="H3" s="6">
        <v>0</v>
      </c>
      <c r="I3" s="6">
        <v>0</v>
      </c>
      <c r="J3" s="6">
        <v>0</v>
      </c>
    </row>
    <row r="4" ht="289.8" spans="1:10">
      <c r="A4" s="3" t="s">
        <v>20</v>
      </c>
      <c r="B4" s="4" t="s">
        <v>22</v>
      </c>
      <c r="C4" s="5" t="s">
        <v>334</v>
      </c>
      <c r="D4" s="3" t="s">
        <v>335</v>
      </c>
      <c r="E4" s="7">
        <v>1</v>
      </c>
      <c r="F4" s="6">
        <v>0</v>
      </c>
      <c r="G4" s="6">
        <v>1</v>
      </c>
      <c r="H4" s="7">
        <v>1</v>
      </c>
      <c r="I4" s="7">
        <v>1</v>
      </c>
      <c r="J4" s="7">
        <v>1</v>
      </c>
    </row>
    <row r="5" ht="15" spans="1:10">
      <c r="A5" s="3" t="s">
        <v>25</v>
      </c>
      <c r="B5" s="4" t="s">
        <v>27</v>
      </c>
      <c r="C5" t="s">
        <v>336</v>
      </c>
      <c r="D5" t="s">
        <v>337</v>
      </c>
      <c r="E5" s="6">
        <v>0</v>
      </c>
      <c r="F5" s="6">
        <v>0</v>
      </c>
      <c r="G5" s="6">
        <v>1</v>
      </c>
      <c r="H5" s="7">
        <v>0.6</v>
      </c>
      <c r="I5" s="7">
        <v>1</v>
      </c>
      <c r="J5" s="7">
        <v>0.75</v>
      </c>
    </row>
    <row r="6" ht="15" spans="1:10">
      <c r="A6" s="3" t="s">
        <v>154</v>
      </c>
      <c r="B6" s="8" t="s">
        <v>31</v>
      </c>
      <c r="C6" t="s">
        <v>338</v>
      </c>
      <c r="D6" s="9" t="s">
        <v>339</v>
      </c>
      <c r="E6" s="6">
        <v>0</v>
      </c>
      <c r="F6" s="6">
        <v>1</v>
      </c>
      <c r="G6" s="6">
        <v>0</v>
      </c>
      <c r="H6" s="6">
        <v>0</v>
      </c>
      <c r="I6" s="6">
        <v>0</v>
      </c>
      <c r="J6" s="6">
        <v>0</v>
      </c>
    </row>
    <row r="7" ht="15" spans="1:10">
      <c r="A7" s="3" t="s">
        <v>33</v>
      </c>
      <c r="B7" s="4" t="s">
        <v>35</v>
      </c>
      <c r="C7" t="s">
        <v>340</v>
      </c>
      <c r="D7" t="s">
        <v>294</v>
      </c>
      <c r="E7" s="6">
        <v>0</v>
      </c>
      <c r="F7" s="6">
        <v>1</v>
      </c>
      <c r="G7" s="6">
        <v>0</v>
      </c>
      <c r="H7" s="6">
        <v>0</v>
      </c>
      <c r="I7" s="6">
        <v>0</v>
      </c>
      <c r="J7" s="6">
        <v>0</v>
      </c>
    </row>
    <row r="8" ht="15" spans="1:10">
      <c r="A8" s="3" t="s">
        <v>38</v>
      </c>
      <c r="B8" s="8" t="s">
        <v>40</v>
      </c>
      <c r="C8" t="s">
        <v>341</v>
      </c>
      <c r="D8" t="s">
        <v>342</v>
      </c>
      <c r="E8" s="6">
        <v>0</v>
      </c>
      <c r="F8" s="6">
        <v>1</v>
      </c>
      <c r="G8" s="6">
        <v>0</v>
      </c>
      <c r="H8" s="6">
        <v>0</v>
      </c>
      <c r="I8" s="6">
        <v>0</v>
      </c>
      <c r="J8" s="6">
        <v>0</v>
      </c>
    </row>
    <row r="9" ht="15" spans="1:10">
      <c r="A9" s="3" t="s">
        <v>44</v>
      </c>
      <c r="B9" s="8" t="s">
        <v>46</v>
      </c>
      <c r="C9" t="s">
        <v>343</v>
      </c>
      <c r="D9" s="9" t="s">
        <v>344</v>
      </c>
      <c r="E9" s="6">
        <v>0</v>
      </c>
      <c r="F9" s="6">
        <v>1</v>
      </c>
      <c r="G9" s="6">
        <v>0</v>
      </c>
      <c r="H9" s="6">
        <v>0</v>
      </c>
      <c r="I9" s="6">
        <v>0</v>
      </c>
      <c r="J9" s="6">
        <v>0</v>
      </c>
    </row>
    <row r="10" ht="15" spans="1:10">
      <c r="A10" s="3" t="s">
        <v>48</v>
      </c>
      <c r="B10" s="4" t="s">
        <v>50</v>
      </c>
      <c r="C10" s="3" t="s">
        <v>345</v>
      </c>
      <c r="D10" t="s">
        <v>346</v>
      </c>
      <c r="E10" s="6">
        <v>0</v>
      </c>
      <c r="F10" s="6">
        <v>1</v>
      </c>
      <c r="G10" s="6">
        <v>0</v>
      </c>
      <c r="H10" s="6">
        <v>0</v>
      </c>
      <c r="I10" s="6">
        <v>0</v>
      </c>
      <c r="J10" s="6">
        <v>0</v>
      </c>
    </row>
    <row r="11" ht="317.4" spans="1:10">
      <c r="A11" s="3" t="s">
        <v>53</v>
      </c>
      <c r="B11" s="8" t="s">
        <v>55</v>
      </c>
      <c r="C11" s="5" t="s">
        <v>347</v>
      </c>
      <c r="D11" t="s">
        <v>251</v>
      </c>
      <c r="E11" s="6">
        <v>0</v>
      </c>
      <c r="F11" s="6">
        <v>1</v>
      </c>
      <c r="G11" s="6">
        <v>0</v>
      </c>
      <c r="H11" s="6">
        <v>0</v>
      </c>
      <c r="I11" s="6">
        <v>0</v>
      </c>
      <c r="J11" s="6">
        <v>0</v>
      </c>
    </row>
    <row r="12" ht="317.4" spans="1:10">
      <c r="A12" s="3" t="s">
        <v>57</v>
      </c>
      <c r="B12" s="4" t="s">
        <v>59</v>
      </c>
      <c r="C12" s="5" t="s">
        <v>348</v>
      </c>
      <c r="D12" t="s">
        <v>302</v>
      </c>
      <c r="E12" s="6">
        <v>0</v>
      </c>
      <c r="F12" s="6">
        <v>1</v>
      </c>
      <c r="G12" s="6">
        <v>0</v>
      </c>
      <c r="H12" s="6">
        <v>0</v>
      </c>
      <c r="I12" s="6">
        <v>0</v>
      </c>
      <c r="J12" s="6">
        <v>0</v>
      </c>
    </row>
    <row r="13" ht="15" spans="1:10">
      <c r="A13" s="3" t="s">
        <v>60</v>
      </c>
      <c r="B13" s="4">
        <v>5.4</v>
      </c>
      <c r="C13" t="s">
        <v>349</v>
      </c>
      <c r="D13" t="s">
        <v>350</v>
      </c>
      <c r="E13" s="6">
        <v>0</v>
      </c>
      <c r="F13" s="6">
        <v>0</v>
      </c>
      <c r="G13" s="6">
        <v>1</v>
      </c>
      <c r="H13" s="7">
        <v>1</v>
      </c>
      <c r="I13" s="7">
        <v>1</v>
      </c>
      <c r="J13" s="7">
        <v>1</v>
      </c>
    </row>
    <row r="14" ht="409.5" spans="1:10">
      <c r="A14" s="3" t="s">
        <v>64</v>
      </c>
      <c r="B14" s="4" t="s">
        <v>66</v>
      </c>
      <c r="C14" s="5" t="s">
        <v>351</v>
      </c>
      <c r="D14" t="s">
        <v>285</v>
      </c>
      <c r="E14" s="6">
        <v>0</v>
      </c>
      <c r="F14" s="6">
        <v>1</v>
      </c>
      <c r="G14" s="6">
        <v>0</v>
      </c>
      <c r="H14" s="6">
        <v>0</v>
      </c>
      <c r="I14" s="6">
        <v>0</v>
      </c>
      <c r="J14" s="6">
        <v>0</v>
      </c>
    </row>
    <row r="15" ht="409.5" spans="1:10">
      <c r="A15" s="3" t="s">
        <v>67</v>
      </c>
      <c r="B15" s="8" t="s">
        <v>69</v>
      </c>
      <c r="C15" s="5" t="s">
        <v>352</v>
      </c>
      <c r="D15" s="9" t="s">
        <v>353</v>
      </c>
      <c r="E15" s="6">
        <v>0</v>
      </c>
      <c r="F15" s="6">
        <v>1</v>
      </c>
      <c r="G15" s="6">
        <v>0</v>
      </c>
      <c r="H15" s="6">
        <v>0</v>
      </c>
      <c r="I15" s="6">
        <v>0</v>
      </c>
      <c r="J15" s="6">
        <v>0</v>
      </c>
    </row>
    <row r="16" ht="289.8" spans="1:10">
      <c r="A16" s="3" t="s">
        <v>73</v>
      </c>
      <c r="B16" s="8" t="s">
        <v>75</v>
      </c>
      <c r="C16" s="5" t="s">
        <v>354</v>
      </c>
      <c r="D16" t="s">
        <v>355</v>
      </c>
      <c r="E16" s="6">
        <v>0</v>
      </c>
      <c r="F16" s="6">
        <v>0</v>
      </c>
      <c r="G16" s="6">
        <v>1</v>
      </c>
      <c r="H16" s="7">
        <v>1</v>
      </c>
      <c r="I16" s="7">
        <v>0.5</v>
      </c>
      <c r="J16" s="7">
        <v>0.67</v>
      </c>
    </row>
    <row r="17" ht="409.5" spans="1:10">
      <c r="A17" s="3" t="s">
        <v>78</v>
      </c>
      <c r="B17" s="8" t="s">
        <v>80</v>
      </c>
      <c r="C17" s="5" t="s">
        <v>356</v>
      </c>
      <c r="D17" t="s">
        <v>357</v>
      </c>
      <c r="E17" s="6">
        <v>0</v>
      </c>
      <c r="F17" s="6">
        <v>1</v>
      </c>
      <c r="G17" s="6">
        <v>0</v>
      </c>
      <c r="H17" s="6">
        <v>0</v>
      </c>
      <c r="I17" s="6">
        <v>0</v>
      </c>
      <c r="J17" s="6">
        <v>0</v>
      </c>
    </row>
    <row r="18" ht="409.5" spans="1:10">
      <c r="A18" s="3" t="s">
        <v>84</v>
      </c>
      <c r="B18" s="8" t="s">
        <v>86</v>
      </c>
      <c r="C18" s="5" t="s">
        <v>358</v>
      </c>
      <c r="D18" s="3" t="s">
        <v>359</v>
      </c>
      <c r="E18" s="6">
        <v>0</v>
      </c>
      <c r="F18" s="6">
        <v>1</v>
      </c>
      <c r="G18" s="6">
        <v>0</v>
      </c>
      <c r="H18" s="6">
        <v>0</v>
      </c>
      <c r="I18" s="6">
        <v>0</v>
      </c>
      <c r="J18" s="6">
        <v>0</v>
      </c>
    </row>
    <row r="19" ht="409.5" spans="1:10">
      <c r="A19" s="3" t="s">
        <v>89</v>
      </c>
      <c r="B19" s="4" t="s">
        <v>91</v>
      </c>
      <c r="C19" s="5" t="s">
        <v>360</v>
      </c>
      <c r="D19" s="3" t="s">
        <v>361</v>
      </c>
      <c r="E19" s="6">
        <v>0</v>
      </c>
      <c r="F19" s="6">
        <v>1</v>
      </c>
      <c r="G19" s="6">
        <v>0</v>
      </c>
      <c r="H19" s="6">
        <v>0</v>
      </c>
      <c r="I19" s="6">
        <v>0</v>
      </c>
      <c r="J19" s="6">
        <v>0</v>
      </c>
    </row>
    <row r="20" ht="409.5" spans="1:10">
      <c r="A20" s="3" t="s">
        <v>94</v>
      </c>
      <c r="B20">
        <v>6</v>
      </c>
      <c r="C20" s="5" t="s">
        <v>362</v>
      </c>
      <c r="D20" t="s">
        <v>363</v>
      </c>
      <c r="E20" s="6">
        <v>0</v>
      </c>
      <c r="F20" s="6">
        <v>0</v>
      </c>
      <c r="G20" s="6">
        <v>1</v>
      </c>
      <c r="H20" s="7">
        <v>1</v>
      </c>
      <c r="I20" s="7">
        <v>1</v>
      </c>
      <c r="J20" s="7">
        <v>1</v>
      </c>
    </row>
    <row r="21" ht="409.5" spans="1:10">
      <c r="A21" s="3" t="s">
        <v>98</v>
      </c>
      <c r="B21" s="8" t="s">
        <v>100</v>
      </c>
      <c r="C21" s="5" t="s">
        <v>364</v>
      </c>
      <c r="D21" s="3" t="s">
        <v>365</v>
      </c>
      <c r="E21" s="6">
        <v>0</v>
      </c>
      <c r="F21" s="6">
        <v>1</v>
      </c>
      <c r="G21" s="6">
        <v>0</v>
      </c>
      <c r="H21" s="6">
        <v>0</v>
      </c>
      <c r="I21" s="6">
        <v>0</v>
      </c>
      <c r="J21" s="6">
        <v>0</v>
      </c>
    </row>
    <row r="22" ht="409.5" spans="1:10">
      <c r="A22" s="3" t="s">
        <v>103</v>
      </c>
      <c r="B22" s="4" t="s">
        <v>105</v>
      </c>
      <c r="C22" s="5" t="s">
        <v>366</v>
      </c>
      <c r="D22" s="3" t="s">
        <v>105</v>
      </c>
      <c r="E22" s="7">
        <v>1</v>
      </c>
      <c r="F22" s="6">
        <v>0</v>
      </c>
      <c r="G22" s="6">
        <v>1</v>
      </c>
      <c r="H22" s="7">
        <v>1</v>
      </c>
      <c r="I22" s="7">
        <v>1</v>
      </c>
      <c r="J22" s="7">
        <v>1</v>
      </c>
    </row>
    <row r="23" ht="317.4" spans="1:10">
      <c r="A23" s="3" t="s">
        <v>177</v>
      </c>
      <c r="B23" s="4" t="s">
        <v>110</v>
      </c>
      <c r="C23" s="5" t="s">
        <v>367</v>
      </c>
      <c r="D23" s="9" t="s">
        <v>368</v>
      </c>
      <c r="E23" s="6">
        <v>0</v>
      </c>
      <c r="F23" s="6">
        <v>1</v>
      </c>
      <c r="G23" s="6">
        <v>0</v>
      </c>
      <c r="H23" s="6">
        <v>0</v>
      </c>
      <c r="I23" s="6">
        <v>0</v>
      </c>
      <c r="J23" s="6">
        <v>0</v>
      </c>
    </row>
    <row r="24" ht="409.5" spans="1:10">
      <c r="A24" s="3" t="s">
        <v>113</v>
      </c>
      <c r="B24" s="10">
        <v>0.6</v>
      </c>
      <c r="C24" s="5" t="s">
        <v>369</v>
      </c>
      <c r="D24" s="11">
        <v>0.3</v>
      </c>
      <c r="E24" s="6">
        <v>0</v>
      </c>
      <c r="F24" s="6">
        <v>1</v>
      </c>
      <c r="G24" s="6">
        <v>0</v>
      </c>
      <c r="H24" s="6">
        <v>0</v>
      </c>
      <c r="I24" s="6">
        <v>0</v>
      </c>
      <c r="J24" s="6">
        <v>0</v>
      </c>
    </row>
    <row r="25" ht="409.5" spans="1:10">
      <c r="A25" s="12" t="s">
        <v>116</v>
      </c>
      <c r="B25" s="13" t="s">
        <v>118</v>
      </c>
      <c r="C25" s="5" t="s">
        <v>370</v>
      </c>
      <c r="D25" s="3" t="s">
        <v>371</v>
      </c>
      <c r="E25" s="6">
        <v>0</v>
      </c>
      <c r="F25" s="6">
        <v>1</v>
      </c>
      <c r="G25" s="6">
        <v>0</v>
      </c>
      <c r="H25" s="7">
        <v>0.43</v>
      </c>
      <c r="I25" s="7">
        <v>0.33</v>
      </c>
      <c r="J25" s="7">
        <v>0.38</v>
      </c>
    </row>
    <row r="26" ht="409.5" spans="1:10">
      <c r="A26" s="12" t="s">
        <v>121</v>
      </c>
      <c r="B26" t="s">
        <v>123</v>
      </c>
      <c r="C26" s="5" t="s">
        <v>372</v>
      </c>
      <c r="D26" s="3" t="s">
        <v>373</v>
      </c>
      <c r="E26" s="6">
        <v>0</v>
      </c>
      <c r="F26" s="6">
        <v>1</v>
      </c>
      <c r="G26" s="6">
        <v>0</v>
      </c>
      <c r="H26" s="6">
        <v>0</v>
      </c>
      <c r="I26" s="6">
        <v>0</v>
      </c>
      <c r="J26" s="6">
        <v>0</v>
      </c>
    </row>
    <row r="27" ht="409.5" spans="1:10">
      <c r="A27" s="12" t="s">
        <v>126</v>
      </c>
      <c r="B27" t="s">
        <v>128</v>
      </c>
      <c r="C27" s="5" t="s">
        <v>374</v>
      </c>
      <c r="D27" t="s">
        <v>375</v>
      </c>
      <c r="E27" s="6">
        <v>0</v>
      </c>
      <c r="F27" s="6">
        <v>0</v>
      </c>
      <c r="G27" s="6">
        <v>1</v>
      </c>
      <c r="H27" s="7">
        <v>1</v>
      </c>
      <c r="I27" s="7">
        <v>1</v>
      </c>
      <c r="J27" s="7">
        <v>1</v>
      </c>
    </row>
    <row r="28" ht="409.5" spans="1:10">
      <c r="A28" s="12" t="s">
        <v>130</v>
      </c>
      <c r="B28" s="13" t="s">
        <v>132</v>
      </c>
      <c r="C28" s="5" t="s">
        <v>376</v>
      </c>
      <c r="D28" t="s">
        <v>377</v>
      </c>
      <c r="E28" s="6">
        <v>0</v>
      </c>
      <c r="F28" s="6">
        <v>0</v>
      </c>
      <c r="G28" s="6">
        <v>1</v>
      </c>
      <c r="H28" s="7">
        <v>1</v>
      </c>
      <c r="I28" s="7">
        <v>1</v>
      </c>
      <c r="J28" s="7">
        <v>1</v>
      </c>
    </row>
    <row r="29" ht="409.5" spans="1:10">
      <c r="A29" s="12" t="s">
        <v>135</v>
      </c>
      <c r="B29" s="13">
        <v>5</v>
      </c>
      <c r="C29" s="5" t="s">
        <v>378</v>
      </c>
      <c r="D29" s="14" t="s">
        <v>379</v>
      </c>
      <c r="E29" s="6">
        <v>0</v>
      </c>
      <c r="F29" s="6">
        <v>0.5</v>
      </c>
      <c r="G29" s="6">
        <v>0.5</v>
      </c>
      <c r="H29" s="7">
        <v>0.5</v>
      </c>
      <c r="I29" s="7">
        <v>0.5</v>
      </c>
      <c r="J29" s="7">
        <v>0.5</v>
      </c>
    </row>
    <row r="30" spans="1:10">
      <c r="A30" s="15" t="s">
        <v>138</v>
      </c>
      <c r="B30" s="16" t="s">
        <v>140</v>
      </c>
      <c r="C30" t="s">
        <v>380</v>
      </c>
      <c r="D30" t="s">
        <v>381</v>
      </c>
      <c r="E30" s="6">
        <v>0</v>
      </c>
      <c r="F30" s="6">
        <v>1</v>
      </c>
      <c r="G30" s="6">
        <v>0</v>
      </c>
      <c r="H30" s="6">
        <v>0</v>
      </c>
      <c r="I30" s="6">
        <v>0</v>
      </c>
      <c r="J30" s="6">
        <v>0</v>
      </c>
    </row>
    <row r="31" ht="409.5" spans="1:10">
      <c r="A31" s="3" t="s">
        <v>143</v>
      </c>
      <c r="B31" s="4" t="s">
        <v>145</v>
      </c>
      <c r="C31" s="5" t="s">
        <v>382</v>
      </c>
      <c r="D31" s="3" t="s">
        <v>383</v>
      </c>
      <c r="E31" s="6">
        <v>0</v>
      </c>
      <c r="F31" s="6">
        <v>1</v>
      </c>
      <c r="G31" s="6">
        <v>0</v>
      </c>
      <c r="H31" s="6">
        <v>0</v>
      </c>
      <c r="I31" s="6">
        <v>0</v>
      </c>
      <c r="J31" s="6">
        <v>0</v>
      </c>
    </row>
    <row r="32" spans="5:10">
      <c r="E32">
        <f>ROUND(AVERAGE(E2:E30),2)</f>
        <v>0.07</v>
      </c>
      <c r="F32">
        <f>ROUND(AVERAGE(F2:F30),2)</f>
        <v>0.71</v>
      </c>
      <c r="G32">
        <f>ROUND(AVERAGE(G2:G30),2)</f>
        <v>0.29</v>
      </c>
      <c r="H32">
        <f>ROUND(AVERAGE(H2:H30),2)</f>
        <v>0.29</v>
      </c>
      <c r="I32">
        <f>ROUND(AVERAGE(I2:I30),2)</f>
        <v>0.29</v>
      </c>
      <c r="J32">
        <f>ROUND(2*H32*I32/(H32+I32),2)</f>
        <v>0.29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MEPAM</vt:lpstr>
      <vt:lpstr>mixtral_mepam</vt:lpstr>
      <vt:lpstr>gpt4o</vt:lpstr>
      <vt:lpstr>mixtral</vt:lpstr>
      <vt:lpstr>deepseek</vt:lpstr>
      <vt:lpstr>qwen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林聪 周</dc:creator>
  <cp:lastModifiedBy>童启畅</cp:lastModifiedBy>
  <dcterms:created xsi:type="dcterms:W3CDTF">2025-09-09T12:52:00Z</dcterms:created>
  <dcterms:modified xsi:type="dcterms:W3CDTF">2025-09-24T11:45:58Z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E75413E0E9F34BD493605204EB0EDE73_13</vt:lpwstr>
  </property>
  <property fmtid="{D5CDD505-2E9C-101B-9397-08002B2CF9AE}" pid="3" name="KSOProductBuildVer">
    <vt:lpwstr>2052-12.1.0.21915</vt:lpwstr>
  </property>
</Properties>
</file>